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List>
</comments>
</file>

<file path=xl/comments3.xml><?xml version="1.0" encoding="utf-8"?>
<comments xmlns="http://schemas.openxmlformats.org/spreadsheetml/2006/main">
  <authors>
    <author>Katie</author>
    <author>CRG</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 ref="O24" authorId="1">
      <text>
        <t>Missed Skater number</t>
      </text>
    </comment>
    <comment ref="AO66" authorId="1">
      <text>
        <t>Sub by 107</t>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<sst xmlns="http://schemas.openxmlformats.org/spreadsheetml/2006/main" count="2813" uniqueCount="698">
  <si>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</si>
  <si>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</si>
  <si>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</si>
  <si>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</si>
  <si>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</si>
  <si>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</si>
  <si>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</si>
  <si>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</si>
  <si>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</si>
  <si>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</si>
  <si>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</si>
  <si>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</si>
  <si>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</si>
  <si>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</si>
  <si>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</si>
  <si>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</si>
  <si>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</si>
  <si>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</si>
  <si>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</si>
  <si>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</si>
  <si>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</si>
  <si>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</si>
  <si>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</si>
  <si>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</si>
  <si>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</si>
  <si>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</si>
  <si>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</si>
  <si>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</si>
  <si>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</si>
  <si>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</si>
  <si>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</si>
  <si>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</si>
  <si>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</si>
  <si>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</si>
  <si>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</si>
  <si>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</si>
  <si>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</si>
  <si>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</si>
  <si>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</si>
  <si>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</si>
  <si>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</si>
  <si>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</si>
  <si>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</si>
  <si>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</si>
  <si>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</si>
  <si>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</si>
  <si>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</si>
  <si>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</si>
  <si>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</si>
  <si>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</si>
  <si>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</si>
  <si>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</si>
  <si>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</si>
  <si>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</si>
  <si>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</si>
  <si>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</si>
  <si>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</si>
  <si>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</si>
  <si>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</si>
  <si>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</si>
  <si>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</si>
  <si>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</si>
  <si>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</si>
  <si>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</si>
  <si>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</si>
  <si>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</si>
  <si>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</si>
  <si>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</si>
  <si>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</si>
  <si>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</si>
  <si>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</si>
  <si>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</si>
  <si>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</si>
  <si>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</si>
  <si>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</si>
  <si>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</si>
  <si>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</si>
  <si>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</si>
  <si>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</si>
  <si>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</si>
  <si>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</si>
  <si>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</si>
  <si>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</si>
  <si>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</si>
  <si>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</si>
  <si>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</si>
  <si>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</si>
  <si>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</si>
  <si>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</si>
  <si>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</si>
  <si>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</si>
  <si>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</si>
  <si>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</si>
  <si>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</si>
  <si>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</si>
  <si>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</si>
  <si>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</si>
  <si>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</si>
  <si>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</si>
  <si>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</si>
  <si>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</si>
  <si>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</si>
  <si>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</si>
  <si>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</si>
  <si>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</si>
  <si>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</si>
  <si>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</si>
  <si>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</si>
  <si>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</si>
  <si>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</si>
  <si>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</si>
  <si>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</si>
  <si>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</si>
  <si>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</si>
  <si>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</si>
  <si>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</si>
  <si>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</si>
  <si>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</si>
  <si>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</si>
  <si>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</si>
  <si>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</si>
  <si>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</si>
  <si>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</si>
  <si>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</si>
  <si>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</si>
  <si>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</si>
  <si>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</si>
  <si>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</si>
  <si>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</si>
  <si>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</si>
  <si>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</si>
  <si>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</si>
  <si>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</si>
  <si>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</si>
  <si>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</si>
  <si>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</si>
  <si>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</si>
  <si>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</si>
  <si>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</si>
  <si>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</si>
  <si>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</si>
  <si>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</si>
  <si>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</si>
  <si>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</si>
  <si>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</si>
  <si>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</si>
  <si>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</si>
  <si>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</si>
  <si>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</si>
  <si>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</si>
  <si>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</si>
  <si>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</si>
  <si>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</si>
  <si>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</si>
  <si>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</si>
  <si>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</si>
  <si>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</si>
  <si>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</si>
  <si>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</si>
  <si>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</si>
  <si>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</si>
  <si>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</si>
  <si>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</si>
  <si>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</si>
  <si>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</si>
  <si>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</si>
  <si>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</si>
  <si>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</si>
  <si>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</si>
  <si>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</si>
  <si>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</si>
  <si>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</si>
  <si>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</si>
  <si>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</si>
  <si>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</si>
  <si>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</si>
  <si>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</si>
  <si>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</si>
  <si>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</si>
  <si>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</si>
  <si>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</si>
  <si>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</si>
  <si>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</si>
  <si>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</si>
  <si>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</si>
  <si>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</si>
  <si>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</si>
  <si>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</si>
  <si>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</si>
  <si>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</si>
  <si>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</si>
  <si>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</si>
  <si>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</si>
  <si>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</si>
  <si>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</si>
  <si>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</si>
  <si>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</si>
  <si>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</si>
  <si>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</si>
  <si>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</si>
  <si>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</si>
  <si>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</si>
  <si>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</si>
  <si>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</si>
  <si>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</si>
  <si>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</si>
  <si>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</si>
  <si>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</si>
  <si>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</si>
  <si>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</si>
  <si>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</si>
  <si>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</si>
  <si>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</si>
  <si>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</si>
  <si>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</si>
  <si>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</si>
  <si>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</si>
  <si>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</si>
  <si>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</si>
  <si>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</si>
  <si>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</si>
  <si>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</si>
  <si>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</si>
  <si>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</si>
  <si>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</si>
  <si>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</si>
  <si>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</si>
  <si>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</si>
  <si>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</si>
  <si>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</si>
  <si>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</si>
  <si>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</si>
  <si>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</si>
  <si>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</si>
  <si>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</si>
  <si>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</si>
  <si>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</si>
  <si>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</si>
  <si>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</si>
  <si>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</si>
  <si>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</si>
  <si>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</si>
  <si>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</si>
  <si>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</si>
  <si>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</si>
  <si>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</si>
  <si>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</si>
  <si>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</si>
  <si>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</si>
  <si>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</si>
  <si>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</si>
  <si>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</si>
  <si>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</si>
  <si>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</si>
  <si>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</si>
  <si>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</si>
  <si>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</si>
  <si>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</si>
  <si>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</si>
  <si>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</si>
  <si>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</si>
  <si>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</si>
  <si>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</si>
  <si>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</si>
  <si>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</si>
  <si>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</si>
  <si>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</si>
  <si>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</si>
  <si>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</si>
  <si>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</si>
  <si>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</si>
  <si>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</si>
  <si>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</si>
  <si>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</si>
  <si>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</si>
  <si>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</si>
  <si>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</si>
  <si>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</si>
  <si>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</si>
  <si>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</si>
  <si>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</si>
  <si>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</si>
  <si>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</si>
  <si>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</si>
  <si>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</si>
  <si>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</si>
  <si>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</si>
  <si>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</si>
  <si>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</si>
  <si>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</si>
  <si>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</si>
  <si>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</si>
  <si>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</si>
  <si>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</si>
  <si>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</si>
  <si>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</si>
  <si>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</si>
  <si>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</si>
  <si>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</si>
  <si>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</si>
  <si>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</si>
  <si>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</si>
  <si>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</si>
  <si>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</si>
  <si>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</si>
  <si>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</si>
  <si>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</si>
  <si>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</si>
  <si>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</si>
  <si>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</si>
  <si>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</si>
  <si>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</si>
  <si>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</si>
  <si>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</si>
  <si>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</si>
  <si>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</si>
  <si>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</si>
  <si>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</si>
  <si>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</si>
  <si>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</si>
  <si>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</si>
  <si>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</si>
  <si>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</si>
  <si>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</si>
  <si>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</si>
  <si>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</si>
  <si>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</si>
  <si>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</si>
  <si>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</si>
  <si>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</si>
  <si>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</si>
  <si>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</si>
  <si>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</si>
  <si>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</si>
  <si>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</si>
  <si>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</si>
  <si>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</si>
  <si>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</si>
  <si>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</si>
  <si>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</si>
  <si>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</si>
  <si>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</si>
  <si>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</si>
  <si>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</si>
  <si>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</si>
  <si>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</si>
  <si>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</si>
  <si>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</si>
  <si>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</si>
  <si>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</si>
  <si>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</si>
  <si>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</si>
  <si>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</si>
  <si>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</si>
  <si>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</si>
  <si>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</si>
  <si>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</si>
  <si>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</si>
  <si>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</si>
  <si>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</si>
  <si>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</si>
  <si>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</si>
  <si>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</si>
  <si>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</si>
  <si>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</si>
  <si>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</si>
  <si>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</si>
  <si>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</si>
  <si>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</si>
  <si>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</si>
  <si>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</si>
  <si>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</si>
  <si>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</si>
  <si>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</si>
  <si>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</si>
  <si>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</si>
  <si>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</si>
  <si>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</si>
  <si>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</si>
  <si>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</si>
  <si>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</si>
  <si>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</si>
  <si>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</si>
  <si>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</si>
  <si>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</si>
  <si>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</si>
  <si>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</si>
  <si>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</si>
  <si>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</si>
  <si>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</si>
  <si>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</si>
  <si>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</si>
  <si>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</si>
  <si>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</si>
  <si>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</si>
  <si>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</si>
  <si>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</si>
  <si>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</si>
  <si>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</si>
  <si>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</si>
  <si>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</si>
  <si>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</si>
  <si>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</si>
  <si>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</si>
  <si>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</si>
  <si>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</si>
  <si>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</si>
  <si>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</si>
  <si>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</si>
  <si>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</si>
  <si>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</si>
  <si>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</si>
  <si>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</si>
  <si>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</si>
  <si>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</si>
  <si>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</si>
  <si>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</si>
  <si>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</si>
  <si>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</si>
  <si>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</si>
  <si>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</si>
  <si>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</si>
  <si>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</si>
  <si>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</si>
  <si>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</si>
  <si>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</si>
  <si>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</si>
  <si>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</si>
  <si>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</si>
  <si>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</si>
  <si>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</si>
  <si>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</si>
  <si>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</si>
  <si>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</si>
  <si>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</si>
  <si>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</si>
  <si>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</si>
  <si>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</si>
  <si>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</si>
  <si>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</si>
  <si>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</si>
  <si>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</si>
  <si>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</si>
  <si>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</si>
  <si>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</si>
  <si>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</si>
  <si>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</si>
  <si>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</si>
  <si>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</si>
  <si>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</si>
  <si>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</si>
  <si>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</si>
  <si>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</si>
  <si>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</si>
  <si>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</si>
  <si>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</si>
  <si>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</si>
  <si>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</si>
  <si>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</si>
  <si>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</si>
  <si>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</si>
  <si>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</si>
  <si>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</si>
  <si>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</si>
  <si>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</si>
  <si>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</si>
  <si>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</si>
  <si>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</si>
  <si>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</si>
  <si>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</si>
  <si>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</si>
  <si>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</si>
  <si>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</si>
  <si>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</si>
  <si>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</si>
  <si>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</si>
  <si>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</si>
  <si>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</si>
  <si>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</si>
  <si>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</si>
  <si>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</si>
  <si>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</si>
  <si>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</si>
  <si>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</si>
  <si>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</si>
  <si>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</si>
  <si>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</si>
  <si>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</si>
  <si>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</si>
  <si>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</si>
  <si>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</si>
  <si>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</si>
  <si>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</si>
  <si>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</si>
  <si>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</si>
  <si>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</si>
  <si>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</si>
  <si>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</si>
  <si>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</si>
  <si>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</si>
  <si>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</si>
  <si>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</si>
  <si>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</si>
  <si>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</si>
  <si>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</si>
  <si>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</si>
  <si>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</si>
  <si>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</si>
  <si>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</si>
  <si>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</si>
  <si>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</si>
  <si>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</si>
  <si>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</si>
  <si>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</si>
  <si>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</si>
  <si>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</si>
  <si>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</si>
  <si>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</si>
  <si>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</si>
  <si>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</si>
  <si>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</si>
  <si>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</si>
  <si>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</si>
  <si>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</si>
  <si>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</si>
  <si>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</si>
  <si>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</si>
  <si>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</si>
  <si>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</si>
  <si>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</si>
  <si>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</si>
  <si>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</si>
  <si>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</si>
  <si>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</si>
  <si>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</si>
  <si>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</si>
  <si>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</si>
  <si>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</si>
  <si>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</si>
  <si>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</si>
  <si>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</si>
  <si>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</si>
  <si>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</si>
  <si>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</si>
  <si>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</si>
  <si>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</si>
  <si>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</si>
  <si>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</si>
  <si>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</si>
  <si>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</si>
  <si>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</si>
  <si>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</si>
  <si>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</si>
  <si>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</si>
  <si>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</si>
  <si>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</si>
  <si>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</si>
  <si>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</si>
  <si>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</si>
  <si>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</si>
  <si>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</si>
  <si>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</si>
  <si>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</si>
  <si>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</si>
  <si>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</si>
  <si>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</si>
  <si>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</si>
  <si>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</si>
  <si>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</si>
  <si>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</si>
  <si>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</si>
  <si>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</si>
  <si>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</si>
  <si>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</si>
  <si>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</si>
  <si>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</si>
  <si>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</si>
  <si>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</si>
  <si>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</si>
  <si>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</si>
  <si>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</si>
  <si>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</si>
  <si>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</si>
  <si>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</si>
  <si>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</si>
  <si>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10</t>
  </si>
  <si>
    <t>Honky Tonk Stomp</t>
  </si>
  <si>
    <t>Hard Knox Roller Derby</t>
  </si>
  <si>
    <t>NO</t>
  </si>
  <si>
    <t>Clarksville Roller Derby</t>
  </si>
  <si>
    <t>Rock Lobsters</t>
  </si>
  <si>
    <t>Nashville Roller Derby</t>
  </si>
  <si>
    <t>Nashville</t>
  </si>
  <si>
    <t>0</t>
  </si>
  <si>
    <t>VHS</t>
  </si>
  <si>
    <t>Mac Attack</t>
  </si>
  <si>
    <t>100</t>
  </si>
  <si>
    <t>Beast Mode</t>
  </si>
  <si>
    <t>102*</t>
  </si>
  <si>
    <t>Booty PopHer</t>
  </si>
  <si>
    <t>1028*</t>
  </si>
  <si>
    <t>Danni-Lion</t>
  </si>
  <si>
    <t>11</t>
  </si>
  <si>
    <t>Pandora Nox</t>
  </si>
  <si>
    <t>22</t>
  </si>
  <si>
    <t>Atta Kontrol</t>
  </si>
  <si>
    <t>27</t>
  </si>
  <si>
    <t>Shrike</t>
  </si>
  <si>
    <t>321</t>
  </si>
  <si>
    <t>Kentrolled Kaos</t>
  </si>
  <si>
    <t>33</t>
  </si>
  <si>
    <t>Sugaree</t>
  </si>
  <si>
    <t>37*</t>
  </si>
  <si>
    <t>Mulan Bruise</t>
  </si>
  <si>
    <t>3713*</t>
  </si>
  <si>
    <t>Not Sorry</t>
  </si>
  <si>
    <t>44*</t>
  </si>
  <si>
    <t>EscarWOAH</t>
  </si>
  <si>
    <t>518</t>
  </si>
  <si>
    <t>Midlife Crisis</t>
  </si>
  <si>
    <t>579</t>
  </si>
  <si>
    <t>Sheeroy Jenkins</t>
  </si>
  <si>
    <t>6</t>
  </si>
  <si>
    <t>Heathen</t>
  </si>
  <si>
    <t>66</t>
  </si>
  <si>
    <t>Domino</t>
  </si>
  <si>
    <t>765</t>
  </si>
  <si>
    <t>Baddy</t>
  </si>
  <si>
    <t>77</t>
  </si>
  <si>
    <t>Membrain</t>
  </si>
  <si>
    <t>9</t>
  </si>
  <si>
    <t>Billie Psycho</t>
  </si>
  <si>
    <t>00*</t>
  </si>
  <si>
    <t>Tonka Truck</t>
  </si>
  <si>
    <t>02*</t>
  </si>
  <si>
    <t>Creme BruSlay</t>
  </si>
  <si>
    <t>1004</t>
  </si>
  <si>
    <t>kC</t>
  </si>
  <si>
    <t>1031*</t>
  </si>
  <si>
    <t>Witch's Bruise</t>
  </si>
  <si>
    <t>107</t>
  </si>
  <si>
    <t>Bettie Pain</t>
  </si>
  <si>
    <t>?</t>
  </si>
  <si>
    <t>113</t>
  </si>
  <si>
    <t>Little Bull</t>
  </si>
  <si>
    <t>12</t>
  </si>
  <si>
    <t>Katniss Evermean</t>
  </si>
  <si>
    <t>13</t>
  </si>
  <si>
    <t>Hot Ghoul Shit</t>
  </si>
  <si>
    <t>20</t>
  </si>
  <si>
    <t>Furiosa</t>
  </si>
  <si>
    <t>21</t>
  </si>
  <si>
    <t>The Bekkoning</t>
  </si>
  <si>
    <t>221</t>
  </si>
  <si>
    <t>Rox N' Roll</t>
  </si>
  <si>
    <t>262</t>
  </si>
  <si>
    <t>Chaos</t>
  </si>
  <si>
    <t>325*</t>
  </si>
  <si>
    <t>Brat in the hat</t>
  </si>
  <si>
    <t>42</t>
  </si>
  <si>
    <t>ThumpHer</t>
  </si>
  <si>
    <t>56</t>
  </si>
  <si>
    <t>Cherry Bomb</t>
  </si>
  <si>
    <t>59</t>
  </si>
  <si>
    <t>Gibson Let's Brawl</t>
  </si>
  <si>
    <t>63</t>
  </si>
  <si>
    <t>ChampPain</t>
  </si>
  <si>
    <t>643</t>
  </si>
  <si>
    <t>Paralethal</t>
  </si>
  <si>
    <t>8*</t>
  </si>
  <si>
    <t>Mourning Star</t>
  </si>
  <si>
    <t>911</t>
  </si>
  <si>
    <t>Toxic Moxie</t>
  </si>
  <si>
    <t>15:15</t>
  </si>
  <si>
    <t>7:03.800</t>
  </si>
  <si>
    <t>0:00</t>
  </si>
  <si>
    <t>SP</t>
  </si>
  <si>
    <t>SP*</t>
  </si>
  <si>
    <t>-</t>
  </si>
  <si>
    <t>S</t>
  </si>
  <si>
    <t>$</t>
  </si>
  <si>
    <t>+</t>
  </si>
  <si>
    <t>OFF</t>
  </si>
  <si>
    <t>16:26.200</t>
  </si>
  <si>
    <t>TO</t>
  </si>
  <si>
    <t>null; 15:15</t>
  </si>
  <si>
    <t>null; 7:21.600</t>
  </si>
  <si>
    <t>2:56.400</t>
  </si>
  <si>
    <t>0:28.200</t>
  </si>
  <si>
    <t>18:44</t>
  </si>
  <si>
    <t>22:25.400</t>
  </si>
  <si>
    <t>null; 19:07.200</t>
  </si>
  <si>
    <t>17:51</t>
  </si>
  <si>
    <t>12:41.800</t>
  </si>
  <si>
    <t>3</t>
  </si>
  <si>
    <t>INJ; OFF</t>
  </si>
  <si>
    <t>null 63; 11:48</t>
  </si>
  <si>
    <t>5:40.200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</si>
</sst>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 Id="rId5" Target="../drawings/drawing2.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46243.0</v>
      </c>
      <c r="C7" s="1011"/>
      <c r="D7" s="1011"/>
      <c r="E7" s="1011"/>
      <c r="F7" s="1011"/>
      <c r="G7" s="1012" t="s">
        <v>136</v>
      </c>
      <c r="H7" s="1012"/>
      <c r="I7" s="1013" t="n">
        <v>46243.75</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591</v>
      </c>
      <c r="J10" s="974"/>
      <c r="K10" s="974"/>
      <c r="L10" s="974"/>
      <c r="M10" s="975"/>
    </row>
    <row r="11" spans="1:257" ht="16.899999999999999" customHeight="1" x14ac:dyDescent="0.2">
      <c r="A11" s="660" t="s">
        <v>140</v>
      </c>
      <c r="B11" s="991" t="s">
        <v>590</v>
      </c>
      <c r="C11" s="991"/>
      <c r="D11" s="991"/>
      <c r="E11" s="992"/>
      <c r="F11" s="967"/>
      <c r="G11" s="993" t="s">
        <v>140</v>
      </c>
      <c r="H11" s="994"/>
      <c r="I11" s="973" t="s">
        <v>592</v>
      </c>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718" t="s">
        <v>593</v>
      </c>
      <c r="C14" s="666" t="s">
        <v>594</v>
      </c>
      <c r="D14" s="667"/>
      <c r="E14" s="668"/>
      <c r="F14" s="669"/>
      <c r="G14" s="976">
        <v>1</v>
      </c>
      <c r="H14" s="977"/>
      <c r="I14" s="1483" t="s">
        <v>632</v>
      </c>
      <c r="J14" s="1484" t="s">
        <v>633</v>
      </c>
      <c r="K14" s="671"/>
      <c r="L14" s="671"/>
      <c r="M14" s="672"/>
    </row>
    <row r="15" spans="1:257" ht="16.899999999999999" customHeight="1" x14ac:dyDescent="0.2">
      <c r="A15" s="665">
        <v>2</v>
      </c>
      <c r="B15" s="718" t="s">
        <v>585</v>
      </c>
      <c r="C15" s="666" t="s">
        <v>595</v>
      </c>
      <c r="D15" s="667"/>
      <c r="E15" s="668"/>
      <c r="F15" s="669"/>
      <c r="G15" s="976">
        <v>2</v>
      </c>
      <c r="H15" s="977"/>
      <c r="I15" s="1483" t="s">
        <v>634</v>
      </c>
      <c r="J15" s="1484" t="s">
        <v>635</v>
      </c>
      <c r="K15" s="671"/>
      <c r="L15" s="671"/>
      <c r="M15" s="672"/>
    </row>
    <row r="16" spans="1:257" ht="16.899999999999999" customHeight="1" x14ac:dyDescent="0.2">
      <c r="A16" s="665">
        <v>3</v>
      </c>
      <c r="B16" s="718" t="s">
        <v>596</v>
      </c>
      <c r="C16" s="666" t="s">
        <v>597</v>
      </c>
      <c r="D16" s="667"/>
      <c r="E16" s="668"/>
      <c r="F16" s="669"/>
      <c r="G16" s="978">
        <v>3</v>
      </c>
      <c r="H16" s="979"/>
      <c r="I16" s="748" t="s">
        <v>636</v>
      </c>
      <c r="J16" s="670" t="s">
        <v>637</v>
      </c>
      <c r="K16" s="671"/>
      <c r="L16" s="671"/>
      <c r="M16" s="672"/>
    </row>
    <row r="17" spans="1:18" ht="16.899999999999999" customHeight="1" x14ac:dyDescent="0.2">
      <c r="A17" s="665">
        <v>4</v>
      </c>
      <c r="B17" s="1483" t="s">
        <v>598</v>
      </c>
      <c r="C17" s="1484" t="s">
        <v>599</v>
      </c>
      <c r="D17" s="667"/>
      <c r="E17" s="668"/>
      <c r="F17" s="669"/>
      <c r="G17" s="978">
        <v>4</v>
      </c>
      <c r="H17" s="979"/>
      <c r="I17" s="1483" t="s">
        <v>638</v>
      </c>
      <c r="J17" s="1484" t="s">
        <v>639</v>
      </c>
      <c r="K17" s="671"/>
      <c r="L17" s="671"/>
      <c r="M17" s="672"/>
    </row>
    <row r="18" spans="1:18" ht="16.899999999999999" customHeight="1" x14ac:dyDescent="0.2">
      <c r="A18" s="665">
        <v>5</v>
      </c>
      <c r="B18" s="1483" t="s">
        <v>600</v>
      </c>
      <c r="C18" s="1484" t="s">
        <v>601</v>
      </c>
      <c r="D18" s="667"/>
      <c r="E18" s="668"/>
      <c r="F18" s="669"/>
      <c r="G18" s="978">
        <v>5</v>
      </c>
      <c r="H18" s="979"/>
      <c r="I18" s="748" t="s">
        <v>640</v>
      </c>
      <c r="J18" s="670" t="s">
        <v>641</v>
      </c>
      <c r="K18" s="671"/>
      <c r="L18" s="671"/>
      <c r="M18" s="672"/>
    </row>
    <row r="19" spans="1:18" ht="16.899999999999999" customHeight="1" x14ac:dyDescent="0.2">
      <c r="A19" s="665">
        <v>6</v>
      </c>
      <c r="B19" s="718" t="s">
        <v>602</v>
      </c>
      <c r="C19" s="666" t="s">
        <v>603</v>
      </c>
      <c r="D19" s="667"/>
      <c r="E19" s="668"/>
      <c r="F19" s="669"/>
      <c r="G19" s="978">
        <v>6</v>
      </c>
      <c r="H19" s="979"/>
      <c r="I19" s="749" t="s">
        <v>643</v>
      </c>
      <c r="J19" s="670" t="s">
        <v>644</v>
      </c>
      <c r="K19" s="671"/>
      <c r="L19" s="671"/>
      <c r="M19" s="672"/>
      <c r="O19" s="673"/>
      <c r="P19" s="673"/>
      <c r="Q19" s="673"/>
      <c r="R19" s="673"/>
    </row>
    <row r="20" spans="1:18" ht="16.899999999999999" customHeight="1" x14ac:dyDescent="0.2">
      <c r="A20" s="665">
        <v>7</v>
      </c>
      <c r="B20" s="718" t="s">
        <v>604</v>
      </c>
      <c r="C20" s="666" t="s">
        <v>605</v>
      </c>
      <c r="D20" s="667"/>
      <c r="E20" s="668"/>
      <c r="F20" s="669"/>
      <c r="G20" s="978">
        <v>7</v>
      </c>
      <c r="H20" s="979"/>
      <c r="I20" s="748" t="s">
        <v>645</v>
      </c>
      <c r="J20" s="670" t="s">
        <v>646</v>
      </c>
      <c r="K20" s="671"/>
      <c r="L20" s="671"/>
      <c r="M20" s="672"/>
    </row>
    <row r="21" spans="1:18" ht="16.899999999999999" customHeight="1" x14ac:dyDescent="0.2">
      <c r="A21" s="665">
        <v>8</v>
      </c>
      <c r="B21" s="718" t="s">
        <v>606</v>
      </c>
      <c r="C21" s="666" t="s">
        <v>607</v>
      </c>
      <c r="D21" s="667"/>
      <c r="E21" s="668"/>
      <c r="F21" s="669"/>
      <c r="G21" s="978">
        <v>8</v>
      </c>
      <c r="H21" s="979"/>
      <c r="I21" s="749" t="s">
        <v>647</v>
      </c>
      <c r="J21" s="670" t="s">
        <v>648</v>
      </c>
      <c r="K21" s="671"/>
      <c r="L21" s="671"/>
      <c r="M21" s="672"/>
    </row>
    <row r="22" spans="1:18" ht="16.899999999999999" customHeight="1" x14ac:dyDescent="0.2">
      <c r="A22" s="665">
        <v>9</v>
      </c>
      <c r="B22" s="718" t="s">
        <v>608</v>
      </c>
      <c r="C22" s="666" t="s">
        <v>609</v>
      </c>
      <c r="D22" s="667"/>
      <c r="E22" s="668"/>
      <c r="F22" s="669"/>
      <c r="G22" s="978">
        <v>9</v>
      </c>
      <c r="H22" s="979"/>
      <c r="I22" s="748" t="s">
        <v>649</v>
      </c>
      <c r="J22" s="670" t="s">
        <v>650</v>
      </c>
      <c r="K22" s="671"/>
      <c r="L22" s="671"/>
      <c r="M22" s="672"/>
    </row>
    <row r="23" spans="1:18" ht="16.899999999999999" customHeight="1" x14ac:dyDescent="0.2">
      <c r="A23" s="665">
        <v>10</v>
      </c>
      <c r="B23" s="718" t="s">
        <v>610</v>
      </c>
      <c r="C23" s="666" t="s">
        <v>611</v>
      </c>
      <c r="D23" s="667"/>
      <c r="E23" s="668"/>
      <c r="F23" s="669"/>
      <c r="G23" s="978">
        <v>10</v>
      </c>
      <c r="H23" s="979"/>
      <c r="I23" s="749" t="s">
        <v>651</v>
      </c>
      <c r="J23" s="670" t="s">
        <v>652</v>
      </c>
      <c r="K23" s="671"/>
      <c r="L23" s="671"/>
      <c r="M23" s="672"/>
    </row>
    <row r="24" spans="1:18" ht="16.899999999999999" customHeight="1" x14ac:dyDescent="0.2">
      <c r="A24" s="665">
        <v>11</v>
      </c>
      <c r="B24" s="1483" t="s">
        <v>612</v>
      </c>
      <c r="C24" s="1484" t="s">
        <v>613</v>
      </c>
      <c r="D24" s="667"/>
      <c r="E24" s="668"/>
      <c r="F24" s="669"/>
      <c r="G24" s="978">
        <v>11</v>
      </c>
      <c r="H24" s="979"/>
      <c r="I24" s="748" t="s">
        <v>653</v>
      </c>
      <c r="J24" s="670" t="s">
        <v>654</v>
      </c>
      <c r="K24" s="671"/>
      <c r="L24" s="671"/>
      <c r="M24" s="672"/>
    </row>
    <row r="25" spans="1:18" ht="16.899999999999999" customHeight="1" x14ac:dyDescent="0.2">
      <c r="A25" s="665">
        <v>12</v>
      </c>
      <c r="B25" s="1483" t="s">
        <v>614</v>
      </c>
      <c r="C25" s="1484" t="s">
        <v>615</v>
      </c>
      <c r="D25" s="667"/>
      <c r="E25" s="668"/>
      <c r="F25" s="669"/>
      <c r="G25" s="978">
        <v>12</v>
      </c>
      <c r="H25" s="979"/>
      <c r="I25" s="749" t="s">
        <v>655</v>
      </c>
      <c r="J25" s="670" t="s">
        <v>656</v>
      </c>
      <c r="K25" s="671"/>
      <c r="L25" s="671"/>
      <c r="M25" s="672"/>
    </row>
    <row r="26" spans="1:18" ht="16.899999999999999" customHeight="1" x14ac:dyDescent="0.2">
      <c r="A26" s="665">
        <v>13</v>
      </c>
      <c r="B26" s="1483" t="s">
        <v>616</v>
      </c>
      <c r="C26" s="1484" t="s">
        <v>617</v>
      </c>
      <c r="D26" s="667"/>
      <c r="E26" s="668"/>
      <c r="F26" s="669"/>
      <c r="G26" s="978">
        <v>13</v>
      </c>
      <c r="H26" s="979"/>
      <c r="I26" s="1483" t="s">
        <v>657</v>
      </c>
      <c r="J26" s="1484" t="s">
        <v>658</v>
      </c>
      <c r="K26" s="671"/>
      <c r="L26" s="671"/>
      <c r="M26" s="672"/>
    </row>
    <row r="27" spans="1:18" ht="16.899999999999999" customHeight="1" x14ac:dyDescent="0.2">
      <c r="A27" s="674">
        <v>14</v>
      </c>
      <c r="B27" s="718" t="s">
        <v>618</v>
      </c>
      <c r="C27" s="666" t="s">
        <v>619</v>
      </c>
      <c r="D27" s="667"/>
      <c r="E27" s="668"/>
      <c r="F27" s="669"/>
      <c r="G27" s="1034">
        <v>14</v>
      </c>
      <c r="H27" s="1035"/>
      <c r="I27" s="749" t="s">
        <v>659</v>
      </c>
      <c r="J27" s="670" t="s">
        <v>660</v>
      </c>
      <c r="K27" s="671"/>
      <c r="L27" s="671"/>
      <c r="M27" s="672"/>
      <c r="O27" s="673"/>
      <c r="P27" s="673"/>
      <c r="Q27" s="673"/>
      <c r="R27" s="673"/>
    </row>
    <row r="28" spans="1:18" ht="16.899999999999999" customHeight="1" x14ac:dyDescent="0.2">
      <c r="A28" s="665">
        <v>15</v>
      </c>
      <c r="B28" s="718" t="s">
        <v>620</v>
      </c>
      <c r="C28" s="666" t="s">
        <v>621</v>
      </c>
      <c r="D28" s="667"/>
      <c r="E28" s="668"/>
      <c r="F28" s="669"/>
      <c r="G28" s="978">
        <v>15</v>
      </c>
      <c r="H28" s="979"/>
      <c r="I28" s="748" t="s">
        <v>661</v>
      </c>
      <c r="J28" s="670" t="s">
        <v>662</v>
      </c>
      <c r="K28" s="671"/>
      <c r="L28" s="671"/>
      <c r="M28" s="672"/>
    </row>
    <row r="29" spans="1:18" ht="16.899999999999999" customHeight="1" x14ac:dyDescent="0.2">
      <c r="A29" s="665">
        <v>16</v>
      </c>
      <c r="B29" s="718" t="s">
        <v>622</v>
      </c>
      <c r="C29" s="666" t="s">
        <v>623</v>
      </c>
      <c r="D29" s="667"/>
      <c r="E29" s="668"/>
      <c r="F29" s="669"/>
      <c r="G29" s="978">
        <v>16</v>
      </c>
      <c r="H29" s="979"/>
      <c r="I29" s="749" t="s">
        <v>663</v>
      </c>
      <c r="J29" s="670" t="s">
        <v>664</v>
      </c>
      <c r="K29" s="675"/>
      <c r="L29" s="675"/>
      <c r="M29" s="676"/>
    </row>
    <row r="30" spans="1:18" ht="16.899999999999999" customHeight="1" x14ac:dyDescent="0.2">
      <c r="A30" s="677">
        <v>17</v>
      </c>
      <c r="B30" s="718" t="s">
        <v>624</v>
      </c>
      <c r="C30" s="666" t="s">
        <v>625</v>
      </c>
      <c r="D30" s="678"/>
      <c r="E30" s="679"/>
      <c r="F30" s="680"/>
      <c r="G30" s="1069">
        <v>17</v>
      </c>
      <c r="H30" s="1069"/>
      <c r="I30" s="748" t="s">
        <v>665</v>
      </c>
      <c r="J30" s="670" t="s">
        <v>666</v>
      </c>
      <c r="K30" s="678"/>
      <c r="L30" s="678"/>
      <c r="M30" s="681"/>
    </row>
    <row r="31" spans="1:18" ht="16.899999999999999" customHeight="1" x14ac:dyDescent="0.2">
      <c r="A31" s="665">
        <v>18</v>
      </c>
      <c r="B31" s="718" t="s">
        <v>626</v>
      </c>
      <c r="C31" s="666" t="s">
        <v>627</v>
      </c>
      <c r="D31" s="682"/>
      <c r="E31" s="683"/>
      <c r="F31" s="684"/>
      <c r="G31" s="979">
        <v>18</v>
      </c>
      <c r="H31" s="979"/>
      <c r="I31" s="749" t="s">
        <v>667</v>
      </c>
      <c r="J31" s="670" t="s">
        <v>668</v>
      </c>
      <c r="K31" s="682"/>
      <c r="L31" s="682"/>
      <c r="M31" s="685"/>
    </row>
    <row r="32" spans="1:18" ht="16.899999999999999" customHeight="1" x14ac:dyDescent="0.2">
      <c r="A32" s="665">
        <v>19</v>
      </c>
      <c r="B32" s="718" t="s">
        <v>628</v>
      </c>
      <c r="C32" s="666" t="s">
        <v>629</v>
      </c>
      <c r="D32" s="686"/>
      <c r="E32" s="687"/>
      <c r="F32" s="688"/>
      <c r="G32" s="979">
        <v>19</v>
      </c>
      <c r="H32" s="979"/>
      <c r="I32" s="1483" t="s">
        <v>669</v>
      </c>
      <c r="J32" s="1484" t="s">
        <v>670</v>
      </c>
      <c r="K32" s="686"/>
      <c r="L32" s="686"/>
      <c r="M32" s="689"/>
    </row>
    <row r="33" spans="1:257" ht="16.899999999999999" customHeight="1" thickBot="1" x14ac:dyDescent="0.25">
      <c r="A33" s="674">
        <v>20</v>
      </c>
      <c r="B33" s="718" t="s">
        <v>630</v>
      </c>
      <c r="C33" s="666" t="s">
        <v>631</v>
      </c>
      <c r="D33" s="690"/>
      <c r="E33" s="691"/>
      <c r="F33" s="692"/>
      <c r="G33" s="1035">
        <v>20</v>
      </c>
      <c r="H33" s="1035"/>
      <c r="I33" s="749" t="s">
        <v>671</v>
      </c>
      <c r="J33" s="670" t="s">
        <v>672</v>
      </c>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610</v>
      </c>
      <c r="C4" s="311"/>
      <c r="D4" s="313"/>
      <c r="E4" s="313"/>
      <c r="F4" s="313"/>
      <c r="G4" s="314" t="s">
        <v>116</v>
      </c>
      <c r="H4" s="315"/>
      <c r="I4" s="316"/>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645</v>
      </c>
      <c r="V4" s="311"/>
      <c r="W4" s="313" t="s">
        <v>116</v>
      </c>
      <c r="X4" s="313" t="s">
        <v>116</v>
      </c>
      <c r="Y4" s="313"/>
      <c r="Z4" s="314"/>
      <c r="AA4" s="315" t="n">
        <v>4.0</v>
      </c>
      <c r="AB4" s="316" t="n">
        <v>4.0</v>
      </c>
      <c r="AC4" s="316" t="n">
        <v>4.0</v>
      </c>
      <c r="AD4" s="316"/>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s">
        <v>676</v>
      </c>
      <c r="B5" s="260" t="s">
        <v>630</v>
      </c>
      <c r="C5" s="259"/>
      <c r="D5" s="261"/>
      <c r="E5" s="261"/>
      <c r="F5" s="261"/>
      <c r="G5" s="250"/>
      <c r="H5" s="251" t="n">
        <v>0.0</v>
      </c>
      <c r="I5" s="252"/>
      <c r="J5" s="252"/>
      <c r="K5" s="252"/>
      <c r="L5" s="252"/>
      <c r="M5" s="252"/>
      <c r="N5" s="252"/>
      <c r="O5" s="252"/>
      <c r="P5" s="222"/>
      <c r="Q5" s="223" t="str">
        <f t="shared" si="0"/>
        <v/>
      </c>
      <c r="R5" s="264" t="str">
        <f>IF(Q5="","",Q5+R4+'OS Offset'!B5)</f>
        <v/>
      </c>
      <c r="S5" s="225">
        <f t="shared" si="1"/>
        <v>0</v>
      </c>
      <c r="T5" s="228" t="s">
        <v>677</v>
      </c>
      <c r="U5" s="227"/>
      <c r="V5" s="228"/>
      <c r="W5" s="229"/>
      <c r="X5" s="229"/>
      <c r="Y5" s="229"/>
      <c r="Z5" s="230"/>
      <c r="AA5" s="231"/>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2.0</v>
      </c>
      <c r="B6" s="266" t="s">
        <v>626</v>
      </c>
      <c r="C6" s="251"/>
      <c r="D6" s="252" t="s">
        <v>116</v>
      </c>
      <c r="E6" s="252" t="s">
        <v>116</v>
      </c>
      <c r="F6" s="252"/>
      <c r="G6" s="265"/>
      <c r="H6" s="253" t="n">
        <v>4.0</v>
      </c>
      <c r="I6" s="254" t="n">
        <v>4.0</v>
      </c>
      <c r="J6" s="254"/>
      <c r="K6" s="254"/>
      <c r="L6" s="254"/>
      <c r="M6" s="254"/>
      <c r="N6" s="254"/>
      <c r="O6" s="254"/>
      <c r="P6" s="233"/>
      <c r="Q6" s="255" t="str">
        <f t="shared" si="0"/>
        <v/>
      </c>
      <c r="R6" s="264" t="str">
        <f>IF(Q6="","",Q6+R5+'OS Offset'!B6)</f>
        <v/>
      </c>
      <c r="S6" s="225">
        <f t="shared" si="1"/>
        <v>0</v>
      </c>
      <c r="T6" s="251" t="n">
        <v>2.0</v>
      </c>
      <c r="U6" s="256" t="s">
        <v>667</v>
      </c>
      <c r="V6" s="247"/>
      <c r="W6" s="245"/>
      <c r="X6" s="245"/>
      <c r="Y6" s="245"/>
      <c r="Z6" s="257" t="s">
        <v>116</v>
      </c>
      <c r="AA6" s="249"/>
      <c r="AB6" s="244"/>
      <c r="AC6" s="244"/>
      <c r="AD6" s="244"/>
      <c r="AE6" s="244"/>
      <c r="AF6" s="244"/>
      <c r="AG6" s="244"/>
      <c r="AH6" s="244"/>
      <c r="AI6" s="248"/>
      <c r="AJ6" s="241" t="str">
        <f t="shared" si="2"/>
        <v/>
      </c>
      <c r="AK6" s="224" t="str">
        <f>IF(AJ6="","",AJ6+AK5+'OS Offset'!I6)</f>
        <v/>
      </c>
      <c r="AL6" s="225">
        <f t="shared" si="3"/>
        <v>0</v>
      </c>
    </row>
    <row r="7" spans="1:38" ht="40.15" customHeight="1" x14ac:dyDescent="0.35">
      <c r="A7" s="259" t="s">
        <v>677</v>
      </c>
      <c r="B7" s="260"/>
      <c r="C7" s="259"/>
      <c r="D7" s="261"/>
      <c r="E7" s="261"/>
      <c r="F7" s="261"/>
      <c r="G7" s="250"/>
      <c r="H7" s="251"/>
      <c r="I7" s="252"/>
      <c r="J7" s="252"/>
      <c r="K7" s="252"/>
      <c r="L7" s="252"/>
      <c r="M7" s="252"/>
      <c r="N7" s="252"/>
      <c r="O7" s="252"/>
      <c r="P7" s="222"/>
      <c r="Q7" s="223" t="str">
        <f t="shared" si="0"/>
        <v/>
      </c>
      <c r="R7" s="264" t="str">
        <f>IF(Q7="","",Q7+R6+'OS Offset'!B7)</f>
        <v/>
      </c>
      <c r="S7" s="225">
        <f t="shared" si="1"/>
        <v>0</v>
      </c>
      <c r="T7" s="258" t="s">
        <v>676</v>
      </c>
      <c r="U7" s="262" t="s">
        <v>655</v>
      </c>
      <c r="V7" s="258"/>
      <c r="W7" s="263"/>
      <c r="X7" s="263"/>
      <c r="Y7" s="263"/>
      <c r="Z7" s="273"/>
      <c r="AA7" s="247" t="n">
        <v>0.0</v>
      </c>
      <c r="AB7" s="245"/>
      <c r="AC7" s="245"/>
      <c r="AD7" s="245"/>
      <c r="AE7" s="245"/>
      <c r="AF7" s="245"/>
      <c r="AG7" s="245"/>
      <c r="AH7" s="245"/>
      <c r="AI7" s="246"/>
      <c r="AJ7" s="240" t="str">
        <f t="shared" si="2"/>
        <v/>
      </c>
      <c r="AK7" s="224" t="str">
        <f>IF(AJ7="","",AJ7+AK6+'OS Offset'!I7)</f>
        <v/>
      </c>
      <c r="AL7" s="225">
        <f t="shared" si="3"/>
        <v>0</v>
      </c>
    </row>
    <row r="8" spans="1:38" ht="40.15" customHeight="1" x14ac:dyDescent="0.35">
      <c r="A8" s="251" t="n">
        <v>3.0</v>
      </c>
      <c r="B8" s="266" t="s">
        <v>628</v>
      </c>
      <c r="C8" s="251"/>
      <c r="D8" s="252"/>
      <c r="E8" s="252"/>
      <c r="F8" s="252"/>
      <c r="G8" s="265"/>
      <c r="H8" s="253" t="n">
        <v>0.0</v>
      </c>
      <c r="I8" s="254"/>
      <c r="J8" s="254"/>
      <c r="K8" s="254"/>
      <c r="L8" s="254"/>
      <c r="M8" s="254"/>
      <c r="N8" s="254"/>
      <c r="O8" s="254"/>
      <c r="P8" s="233"/>
      <c r="Q8" s="255" t="str">
        <f t="shared" si="0"/>
        <v/>
      </c>
      <c r="R8" s="264" t="str">
        <f>IF(Q8="","",Q8+R7+'OS Offset'!B8)</f>
        <v/>
      </c>
      <c r="S8" s="225">
        <f t="shared" si="1"/>
        <v>0</v>
      </c>
      <c r="T8" s="251" t="n">
        <v>3.0</v>
      </c>
      <c r="U8" s="256" t="s">
        <v>649</v>
      </c>
      <c r="V8" s="247"/>
      <c r="W8" s="245" t="s">
        <v>116</v>
      </c>
      <c r="X8" s="245" t="s">
        <v>116</v>
      </c>
      <c r="Y8" s="245"/>
      <c r="Z8" s="257"/>
      <c r="AA8" s="249" t="n">
        <v>4.0</v>
      </c>
      <c r="AB8" s="244"/>
      <c r="AC8" s="244"/>
      <c r="AD8" s="244"/>
      <c r="AE8" s="244"/>
      <c r="AF8" s="244"/>
      <c r="AG8" s="244"/>
      <c r="AH8" s="244"/>
      <c r="AI8" s="248"/>
      <c r="AJ8" s="241" t="str">
        <f t="shared" si="2"/>
        <v/>
      </c>
      <c r="AK8" s="224" t="str">
        <f>IF(AJ8="","",AJ8+AK7+'OS Offset'!I8)</f>
        <v/>
      </c>
      <c r="AL8" s="225">
        <f t="shared" si="3"/>
        <v>0</v>
      </c>
    </row>
    <row r="9" spans="1:38" ht="40.15" customHeight="1" x14ac:dyDescent="0.35">
      <c r="A9" s="259" t="n">
        <v>4.0</v>
      </c>
      <c r="B9" s="260" t="s">
        <v>624</v>
      </c>
      <c r="C9" s="259"/>
      <c r="D9" s="261" t="s">
        <v>116</v>
      </c>
      <c r="E9" s="261" t="s">
        <v>116</v>
      </c>
      <c r="F9" s="261"/>
      <c r="G9" s="250"/>
      <c r="H9" s="251" t="n">
        <v>4.0</v>
      </c>
      <c r="I9" s="252" t="n">
        <v>3.0</v>
      </c>
      <c r="J9" s="252"/>
      <c r="K9" s="252"/>
      <c r="L9" s="252"/>
      <c r="M9" s="252"/>
      <c r="N9" s="252"/>
      <c r="O9" s="252"/>
      <c r="P9" s="222"/>
      <c r="Q9" s="223" t="str">
        <f t="shared" si="0"/>
        <v/>
      </c>
      <c r="R9" s="264" t="str">
        <f>IF(Q9="","",Q9+R8+'OS Offset'!B9)</f>
        <v/>
      </c>
      <c r="S9" s="225">
        <f t="shared" si="1"/>
        <v>0</v>
      </c>
      <c r="T9" s="258" t="n">
        <v>4.0</v>
      </c>
      <c r="U9" s="262" t="s">
        <v>665</v>
      </c>
      <c r="V9" s="258"/>
      <c r="W9" s="263"/>
      <c r="X9" s="263"/>
      <c r="Y9" s="263"/>
      <c r="Z9" s="273"/>
      <c r="AA9" s="247" t="n">
        <v>0.0</v>
      </c>
      <c r="AB9" s="245"/>
      <c r="AC9" s="245"/>
      <c r="AD9" s="245"/>
      <c r="AE9" s="245"/>
      <c r="AF9" s="245"/>
      <c r="AG9" s="245"/>
      <c r="AH9" s="245"/>
      <c r="AI9" s="246"/>
      <c r="AJ9" s="240" t="str">
        <f t="shared" si="2"/>
        <v/>
      </c>
      <c r="AK9" s="224" t="str">
        <f>IF(AJ9="","",AJ9+AK8+'OS Offset'!I9)</f>
        <v/>
      </c>
      <c r="AL9" s="225">
        <f t="shared" si="3"/>
        <v>0</v>
      </c>
    </row>
    <row r="10" spans="1:38" ht="40.15" customHeight="1" x14ac:dyDescent="0.35">
      <c r="A10" s="251" t="n">
        <v>5.0</v>
      </c>
      <c r="B10" s="266" t="s">
        <v>610</v>
      </c>
      <c r="C10" s="251"/>
      <c r="D10" s="252"/>
      <c r="E10" s="252"/>
      <c r="F10" s="252"/>
      <c r="G10" s="265"/>
      <c r="H10" s="253" t="n">
        <v>0.0</v>
      </c>
      <c r="I10" s="254"/>
      <c r="J10" s="254"/>
      <c r="K10" s="254"/>
      <c r="L10" s="254"/>
      <c r="M10" s="254"/>
      <c r="N10" s="254"/>
      <c r="O10" s="254"/>
      <c r="P10" s="233"/>
      <c r="Q10" s="255" t="str">
        <f t="shared" si="0"/>
        <v/>
      </c>
      <c r="R10" s="264" t="str">
        <f>IF(Q10="","",Q10+R9+'OS Offset'!B10)</f>
        <v/>
      </c>
      <c r="S10" s="225">
        <f t="shared" si="1"/>
        <v>0</v>
      </c>
      <c r="T10" s="251" t="n">
        <v>5.0</v>
      </c>
      <c r="U10" s="256" t="s">
        <v>645</v>
      </c>
      <c r="V10" s="247"/>
      <c r="W10" s="245" t="s">
        <v>116</v>
      </c>
      <c r="X10" s="245" t="s">
        <v>116</v>
      </c>
      <c r="Y10" s="245"/>
      <c r="Z10" s="257"/>
      <c r="AA10" s="249" t="n">
        <v>4.0</v>
      </c>
      <c r="AB10" s="244" t="n">
        <v>0.0</v>
      </c>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6.0</v>
      </c>
      <c r="B11" s="260" t="s">
        <v>626</v>
      </c>
      <c r="C11" s="259"/>
      <c r="D11" s="261"/>
      <c r="E11" s="261"/>
      <c r="F11" s="261"/>
      <c r="G11" s="250"/>
      <c r="H11" s="251" t="n">
        <v>0.0</v>
      </c>
      <c r="I11" s="252"/>
      <c r="J11" s="252"/>
      <c r="K11" s="252"/>
      <c r="L11" s="252"/>
      <c r="M11" s="252"/>
      <c r="N11" s="252"/>
      <c r="O11" s="252"/>
      <c r="P11" s="222"/>
      <c r="Q11" s="223" t="str">
        <f t="shared" si="0"/>
        <v/>
      </c>
      <c r="R11" s="264" t="str">
        <f>IF(Q11="","",Q11+R10+'OS Offset'!B11)</f>
        <v/>
      </c>
      <c r="S11" s="225">
        <f t="shared" si="1"/>
        <v>0</v>
      </c>
      <c r="T11" s="258" t="n">
        <v>6.0</v>
      </c>
      <c r="U11" s="262" t="s">
        <v>667</v>
      </c>
      <c r="V11" s="258"/>
      <c r="W11" s="263" t="s">
        <v>116</v>
      </c>
      <c r="X11" s="263" t="s">
        <v>116</v>
      </c>
      <c r="Y11" s="263"/>
      <c r="Z11" s="273"/>
      <c r="AA11" s="247" t="n">
        <v>2.0</v>
      </c>
      <c r="AB11" s="245"/>
      <c r="AC11" s="245"/>
      <c r="AD11" s="245"/>
      <c r="AE11" s="245"/>
      <c r="AF11" s="245"/>
      <c r="AG11" s="245"/>
      <c r="AH11" s="245"/>
      <c r="AI11" s="246"/>
      <c r="AJ11" s="240" t="str">
        <f t="shared" si="2"/>
        <v/>
      </c>
      <c r="AK11" s="224" t="str">
        <f>IF(AJ11="","",AJ11+AK10+'OS Offset'!I11)</f>
        <v/>
      </c>
      <c r="AL11" s="225">
        <f t="shared" si="3"/>
        <v>0</v>
      </c>
    </row>
    <row r="12" spans="1:38" ht="40.15" customHeight="1" x14ac:dyDescent="0.35">
      <c r="A12" s="251" t="n">
        <v>7.0</v>
      </c>
      <c r="B12" s="266" t="s">
        <v>628</v>
      </c>
      <c r="C12" s="251"/>
      <c r="D12" s="252"/>
      <c r="E12" s="252"/>
      <c r="F12" s="252"/>
      <c r="G12" s="265"/>
      <c r="H12" s="253" t="n">
        <v>0.0</v>
      </c>
      <c r="I12" s="254"/>
      <c r="J12" s="254"/>
      <c r="K12" s="254"/>
      <c r="L12" s="254"/>
      <c r="M12" s="254"/>
      <c r="N12" s="254"/>
      <c r="O12" s="254"/>
      <c r="P12" s="233"/>
      <c r="Q12" s="255" t="str">
        <f t="shared" si="0"/>
        <v/>
      </c>
      <c r="R12" s="264" t="str">
        <f>IF(Q12="","",Q12+R11+'OS Offset'!B12)</f>
        <v/>
      </c>
      <c r="S12" s="225">
        <f t="shared" si="1"/>
        <v>0</v>
      </c>
      <c r="T12" s="251" t="n">
        <v>7.0</v>
      </c>
      <c r="U12" s="256" t="s">
        <v>649</v>
      </c>
      <c r="V12" s="247"/>
      <c r="W12" s="245" t="s">
        <v>116</v>
      </c>
      <c r="X12" s="245" t="s">
        <v>116</v>
      </c>
      <c r="Y12" s="245"/>
      <c r="Z12" s="257"/>
      <c r="AA12" s="249" t="n">
        <v>4.0</v>
      </c>
      <c r="AB12" s="244"/>
      <c r="AC12" s="244"/>
      <c r="AD12" s="244"/>
      <c r="AE12" s="244"/>
      <c r="AF12" s="244"/>
      <c r="AG12" s="244"/>
      <c r="AH12" s="244"/>
      <c r="AI12" s="248"/>
      <c r="AJ12" s="241" t="str">
        <f t="shared" si="2"/>
        <v/>
      </c>
      <c r="AK12" s="224" t="str">
        <f>IF(AJ12="","",AJ12+AK11+'OS Offset'!I12)</f>
        <v/>
      </c>
      <c r="AL12" s="225">
        <f t="shared" si="3"/>
        <v>0</v>
      </c>
    </row>
    <row r="13" spans="1:38" ht="40.15" customHeight="1" x14ac:dyDescent="0.35">
      <c r="A13" s="259" t="n">
        <v>8.0</v>
      </c>
      <c r="B13" s="260" t="s">
        <v>624</v>
      </c>
      <c r="C13" s="259"/>
      <c r="D13" s="261" t="s">
        <v>116</v>
      </c>
      <c r="E13" s="261" t="s">
        <v>116</v>
      </c>
      <c r="F13" s="261"/>
      <c r="G13" s="250"/>
      <c r="H13" s="251" t="n">
        <v>4.0</v>
      </c>
      <c r="I13" s="252"/>
      <c r="J13" s="252"/>
      <c r="K13" s="252"/>
      <c r="L13" s="252"/>
      <c r="M13" s="252"/>
      <c r="N13" s="252"/>
      <c r="O13" s="252"/>
      <c r="P13" s="222"/>
      <c r="Q13" s="223" t="str">
        <f t="shared" si="0"/>
        <v/>
      </c>
      <c r="R13" s="264" t="str">
        <f>IF(Q13="","",Q13+R12+'OS Offset'!B13)</f>
        <v/>
      </c>
      <c r="S13" s="225">
        <f t="shared" si="1"/>
        <v>0</v>
      </c>
      <c r="T13" s="258" t="n">
        <v>8.0</v>
      </c>
      <c r="U13" s="262" t="s">
        <v>665</v>
      </c>
      <c r="V13" s="258"/>
      <c r="W13" s="263"/>
      <c r="X13" s="263"/>
      <c r="Y13" s="263"/>
      <c r="Z13" s="273"/>
      <c r="AA13" s="247" t="n">
        <v>0.0</v>
      </c>
      <c r="AB13" s="245"/>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n">
        <v>9.0</v>
      </c>
      <c r="B14" s="266" t="s">
        <v>610</v>
      </c>
      <c r="C14" s="251"/>
      <c r="D14" s="252"/>
      <c r="E14" s="252"/>
      <c r="F14" s="252"/>
      <c r="G14" s="265"/>
      <c r="H14" s="253" t="n">
        <v>0.0</v>
      </c>
      <c r="I14" s="254"/>
      <c r="J14" s="254"/>
      <c r="K14" s="254"/>
      <c r="L14" s="254"/>
      <c r="M14" s="254"/>
      <c r="N14" s="254"/>
      <c r="O14" s="254"/>
      <c r="P14" s="233"/>
      <c r="Q14" s="255" t="str">
        <f t="shared" si="0"/>
        <v/>
      </c>
      <c r="R14" s="264" t="str">
        <f>IF(Q14="","",Q14+R13+'OS Offset'!B14)</f>
        <v/>
      </c>
      <c r="S14" s="225">
        <f t="shared" si="1"/>
        <v>0</v>
      </c>
      <c r="T14" s="251" t="n">
        <v>9.0</v>
      </c>
      <c r="U14" s="256" t="s">
        <v>645</v>
      </c>
      <c r="V14" s="247"/>
      <c r="W14" s="245" t="s">
        <v>116</v>
      </c>
      <c r="X14" s="245" t="s">
        <v>116</v>
      </c>
      <c r="Y14" s="245"/>
      <c r="Z14" s="257"/>
      <c r="AA14" s="249" t="n">
        <v>3.0</v>
      </c>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n">
        <v>10.0</v>
      </c>
      <c r="B15" s="260" t="s">
        <v>626</v>
      </c>
      <c r="C15" s="259" t="s">
        <v>116</v>
      </c>
      <c r="D15" s="261" t="s">
        <v>116</v>
      </c>
      <c r="E15" s="261"/>
      <c r="F15" s="261"/>
      <c r="G15" s="250"/>
      <c r="H15" s="251" t="n">
        <v>3.0</v>
      </c>
      <c r="I15" s="252"/>
      <c r="J15" s="252"/>
      <c r="K15" s="252"/>
      <c r="L15" s="252"/>
      <c r="M15" s="252"/>
      <c r="N15" s="252"/>
      <c r="O15" s="252"/>
      <c r="P15" s="222"/>
      <c r="Q15" s="223" t="str">
        <f t="shared" si="0"/>
        <v/>
      </c>
      <c r="R15" s="264" t="str">
        <f>IF(Q15="","",Q15+R14+'OS Offset'!B15)</f>
        <v/>
      </c>
      <c r="S15" s="225">
        <f t="shared" si="1"/>
        <v>0</v>
      </c>
      <c r="T15" s="258" t="n">
        <v>10.0</v>
      </c>
      <c r="U15" s="262" t="s">
        <v>667</v>
      </c>
      <c r="V15" s="258"/>
      <c r="W15" s="263"/>
      <c r="X15" s="263"/>
      <c r="Y15" s="263"/>
      <c r="Z15" s="273" t="s">
        <v>116</v>
      </c>
      <c r="AA15" s="247"/>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s">
        <v>677</v>
      </c>
      <c r="B16" s="266"/>
      <c r="C16" s="251"/>
      <c r="D16" s="252"/>
      <c r="E16" s="252"/>
      <c r="F16" s="252"/>
      <c r="G16" s="265"/>
      <c r="H16" s="253"/>
      <c r="I16" s="254"/>
      <c r="J16" s="254"/>
      <c r="K16" s="254"/>
      <c r="L16" s="254"/>
      <c r="M16" s="254"/>
      <c r="N16" s="254"/>
      <c r="O16" s="254"/>
      <c r="P16" s="233"/>
      <c r="Q16" s="255" t="str">
        <f t="shared" si="0"/>
        <v/>
      </c>
      <c r="R16" s="264" t="str">
        <f>IF(Q16="","",Q16+R15+'OS Offset'!B16)</f>
        <v/>
      </c>
      <c r="S16" s="225">
        <f t="shared" si="1"/>
        <v>0</v>
      </c>
      <c r="T16" s="251" t="s">
        <v>676</v>
      </c>
      <c r="U16" s="256" t="s">
        <v>655</v>
      </c>
      <c r="V16" s="247"/>
      <c r="W16" s="245"/>
      <c r="X16" s="245"/>
      <c r="Y16" s="245"/>
      <c r="Z16" s="257"/>
      <c r="AA16" s="249" t="n">
        <v>4.0</v>
      </c>
      <c r="AB16" s="244"/>
      <c r="AC16" s="244"/>
      <c r="AD16" s="244"/>
      <c r="AE16" s="244"/>
      <c r="AF16" s="244"/>
      <c r="AG16" s="244"/>
      <c r="AH16" s="244"/>
      <c r="AI16" s="248"/>
      <c r="AJ16" s="241" t="str">
        <f t="shared" si="2"/>
        <v/>
      </c>
      <c r="AK16" s="224" t="str">
        <f>IF(AJ16="","",AJ16+AK15+'OS Offset'!I16)</f>
        <v/>
      </c>
      <c r="AL16" s="225">
        <f t="shared" si="3"/>
        <v>0</v>
      </c>
    </row>
    <row r="17" spans="1:38" ht="40.15" customHeight="1" x14ac:dyDescent="0.35">
      <c r="A17" s="259" t="n">
        <v>11.0</v>
      </c>
      <c r="B17" s="260" t="s">
        <v>628</v>
      </c>
      <c r="C17" s="259"/>
      <c r="D17" s="261"/>
      <c r="E17" s="261"/>
      <c r="F17" s="261"/>
      <c r="G17" s="250"/>
      <c r="H17" s="251" t="n">
        <v>0.0</v>
      </c>
      <c r="I17" s="252"/>
      <c r="J17" s="252"/>
      <c r="K17" s="252"/>
      <c r="L17" s="252"/>
      <c r="M17" s="252"/>
      <c r="N17" s="252"/>
      <c r="O17" s="252"/>
      <c r="P17" s="222"/>
      <c r="Q17" s="223" t="str">
        <f t="shared" si="0"/>
        <v/>
      </c>
      <c r="R17" s="264" t="str">
        <f>IF(Q17="","",Q17+R16+'OS Offset'!B17)</f>
        <v/>
      </c>
      <c r="S17" s="225">
        <f t="shared" si="1"/>
        <v>0</v>
      </c>
      <c r="T17" s="258" t="n">
        <v>11.0</v>
      </c>
      <c r="U17" s="262" t="s">
        <v>649</v>
      </c>
      <c r="V17" s="258"/>
      <c r="W17" s="263" t="s">
        <v>116</v>
      </c>
      <c r="X17" s="263" t="s">
        <v>116</v>
      </c>
      <c r="Y17" s="263"/>
      <c r="Z17" s="273"/>
      <c r="AA17" s="247" t="n">
        <v>4.0</v>
      </c>
      <c r="AB17" s="245"/>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t="n">
        <v>12.0</v>
      </c>
      <c r="B18" s="266" t="s">
        <v>624</v>
      </c>
      <c r="C18" s="251"/>
      <c r="D18" s="252"/>
      <c r="E18" s="252"/>
      <c r="F18" s="252"/>
      <c r="G18" s="265"/>
      <c r="H18" s="253" t="n">
        <v>0.0</v>
      </c>
      <c r="I18" s="254"/>
      <c r="J18" s="254"/>
      <c r="K18" s="254"/>
      <c r="L18" s="254"/>
      <c r="M18" s="254"/>
      <c r="N18" s="254"/>
      <c r="O18" s="254"/>
      <c r="P18" s="233"/>
      <c r="Q18" s="255" t="str">
        <f t="shared" si="0"/>
        <v/>
      </c>
      <c r="R18" s="264" t="str">
        <f>IF(Q18="","",Q18+R17+'OS Offset'!B18)</f>
        <v/>
      </c>
      <c r="S18" s="225">
        <f t="shared" si="1"/>
        <v>0</v>
      </c>
      <c r="T18" s="251" t="n">
        <v>12.0</v>
      </c>
      <c r="U18" s="256" t="s">
        <v>645</v>
      </c>
      <c r="V18" s="247"/>
      <c r="W18" s="245" t="s">
        <v>116</v>
      </c>
      <c r="X18" s="245" t="s">
        <v>116</v>
      </c>
      <c r="Y18" s="245"/>
      <c r="Z18" s="257"/>
      <c r="AA18" s="249" t="n">
        <v>0.0</v>
      </c>
      <c r="AB18" s="244"/>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t="n">
        <v>13.0</v>
      </c>
      <c r="B19" s="260" t="s">
        <v>610</v>
      </c>
      <c r="C19" s="259"/>
      <c r="D19" s="261"/>
      <c r="E19" s="261"/>
      <c r="F19" s="261"/>
      <c r="G19" s="250" t="s">
        <v>116</v>
      </c>
      <c r="H19" s="251"/>
      <c r="I19" s="252"/>
      <c r="J19" s="252"/>
      <c r="K19" s="252"/>
      <c r="L19" s="252"/>
      <c r="M19" s="252"/>
      <c r="N19" s="252"/>
      <c r="O19" s="252"/>
      <c r="P19" s="222"/>
      <c r="Q19" s="223" t="str">
        <f t="shared" si="0"/>
        <v/>
      </c>
      <c r="R19" s="264" t="str">
        <f>IF(Q19="","",Q19+R18+'OS Offset'!B19)</f>
        <v/>
      </c>
      <c r="S19" s="225">
        <f t="shared" si="1"/>
        <v>0</v>
      </c>
      <c r="T19" s="258" t="n">
        <v>13.0</v>
      </c>
      <c r="U19" s="262" t="s">
        <v>667</v>
      </c>
      <c r="V19" s="258"/>
      <c r="W19" s="263" t="s">
        <v>116</v>
      </c>
      <c r="X19" s="263" t="s">
        <v>116</v>
      </c>
      <c r="Y19" s="263"/>
      <c r="Z19" s="273"/>
      <c r="AA19" s="247" t="n">
        <v>4.0</v>
      </c>
      <c r="AB19" s="245"/>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t="s">
        <v>676</v>
      </c>
      <c r="B20" s="266" t="s">
        <v>585</v>
      </c>
      <c r="C20" s="251"/>
      <c r="D20" s="252"/>
      <c r="E20" s="252"/>
      <c r="F20" s="252"/>
      <c r="G20" s="265"/>
      <c r="H20" s="253" t="n">
        <v>0.0</v>
      </c>
      <c r="I20" s="254"/>
      <c r="J20" s="254"/>
      <c r="K20" s="254"/>
      <c r="L20" s="254"/>
      <c r="M20" s="254"/>
      <c r="N20" s="254"/>
      <c r="O20" s="254"/>
      <c r="P20" s="233"/>
      <c r="Q20" s="255" t="str">
        <f t="shared" si="0"/>
        <v/>
      </c>
      <c r="R20" s="264" t="str">
        <f>IF(Q20="","",Q20+R19+'OS Offset'!B20)</f>
        <v/>
      </c>
      <c r="S20" s="225">
        <f t="shared" si="1"/>
        <v>0</v>
      </c>
      <c r="T20" s="251" t="s">
        <v>677</v>
      </c>
      <c r="U20" s="256"/>
      <c r="V20" s="247"/>
      <c r="W20" s="245"/>
      <c r="X20" s="245"/>
      <c r="Y20" s="245"/>
      <c r="Z20" s="257"/>
      <c r="AA20" s="249"/>
      <c r="AB20" s="244"/>
      <c r="AC20" s="244"/>
      <c r="AD20" s="244"/>
      <c r="AE20" s="244"/>
      <c r="AF20" s="244"/>
      <c r="AG20" s="244"/>
      <c r="AH20" s="244"/>
      <c r="AI20" s="248"/>
      <c r="AJ20" s="241" t="str">
        <f t="shared" si="2"/>
        <v/>
      </c>
      <c r="AK20" s="224" t="str">
        <f>IF(AJ20="","",AJ20+AK19+'OS Offset'!I20)</f>
        <v/>
      </c>
      <c r="AL20" s="225">
        <f t="shared" si="3"/>
        <v>0</v>
      </c>
    </row>
    <row r="21" spans="1:38" ht="40.15" customHeight="1" x14ac:dyDescent="0.35">
      <c r="A21" s="259" t="n">
        <v>14.0</v>
      </c>
      <c r="B21" s="260" t="s">
        <v>626</v>
      </c>
      <c r="C21" s="259"/>
      <c r="D21" s="261"/>
      <c r="E21" s="261"/>
      <c r="F21" s="261"/>
      <c r="G21" s="250" t="s">
        <v>116</v>
      </c>
      <c r="H21" s="251"/>
      <c r="I21" s="252"/>
      <c r="J21" s="252"/>
      <c r="K21" s="252"/>
      <c r="L21" s="252"/>
      <c r="M21" s="252"/>
      <c r="N21" s="252"/>
      <c r="O21" s="252"/>
      <c r="P21" s="222"/>
      <c r="Q21" s="223" t="str">
        <f t="shared" si="0"/>
        <v/>
      </c>
      <c r="R21" s="264" t="str">
        <f>IF(Q21="","",Q21+R20+'OS Offset'!B21)</f>
        <v/>
      </c>
      <c r="S21" s="225">
        <f t="shared" si="1"/>
        <v>0</v>
      </c>
      <c r="T21" s="258" t="n">
        <v>14.0</v>
      </c>
      <c r="U21" s="262" t="s">
        <v>649</v>
      </c>
      <c r="V21" s="258"/>
      <c r="W21" s="263" t="s">
        <v>116</v>
      </c>
      <c r="X21" s="263" t="s">
        <v>116</v>
      </c>
      <c r="Y21" s="263"/>
      <c r="Z21" s="273"/>
      <c r="AA21" s="247" t="n">
        <v>4.0</v>
      </c>
      <c r="AB21" s="245" t="n">
        <v>4.0</v>
      </c>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t="n">
        <v>15.0</v>
      </c>
      <c r="B22" s="266" t="s">
        <v>628</v>
      </c>
      <c r="C22" s="251"/>
      <c r="D22" s="252" t="s">
        <v>116</v>
      </c>
      <c r="E22" s="252" t="s">
        <v>116</v>
      </c>
      <c r="F22" s="252"/>
      <c r="G22" s="265"/>
      <c r="H22" s="253" t="n">
        <v>4.0</v>
      </c>
      <c r="I22" s="254" t="n">
        <v>4.0</v>
      </c>
      <c r="J22" s="254"/>
      <c r="K22" s="254"/>
      <c r="L22" s="254"/>
      <c r="M22" s="254"/>
      <c r="N22" s="254"/>
      <c r="O22" s="254"/>
      <c r="P22" s="233"/>
      <c r="Q22" s="255" t="str">
        <f t="shared" si="0"/>
        <v/>
      </c>
      <c r="R22" s="264" t="str">
        <f>IF(Q22="","",Q22+R21+'OS Offset'!B22)</f>
        <v/>
      </c>
      <c r="S22" s="225">
        <f t="shared" si="1"/>
        <v>0</v>
      </c>
      <c r="T22" s="251" t="n">
        <v>15.0</v>
      </c>
      <c r="U22" s="256" t="s">
        <v>665</v>
      </c>
      <c r="V22" s="247"/>
      <c r="W22" s="245"/>
      <c r="X22" s="245"/>
      <c r="Y22" s="245"/>
      <c r="Z22" s="257" t="s">
        <v>116</v>
      </c>
      <c r="AA22" s="249"/>
      <c r="AB22" s="244"/>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t="s">
        <v>677</v>
      </c>
      <c r="B23" s="260"/>
      <c r="C23" s="259"/>
      <c r="D23" s="261"/>
      <c r="E23" s="261"/>
      <c r="F23" s="261"/>
      <c r="G23" s="250"/>
      <c r="H23" s="251"/>
      <c r="I23" s="252"/>
      <c r="J23" s="252"/>
      <c r="K23" s="252"/>
      <c r="L23" s="252"/>
      <c r="M23" s="252"/>
      <c r="N23" s="252"/>
      <c r="O23" s="252"/>
      <c r="P23" s="222"/>
      <c r="Q23" s="223" t="str">
        <f t="shared" si="0"/>
        <v/>
      </c>
      <c r="R23" s="264" t="str">
        <f>IF(Q23="","",Q23+R22+'OS Offset'!B23)</f>
        <v/>
      </c>
      <c r="S23" s="225">
        <f t="shared" si="1"/>
        <v>0</v>
      </c>
      <c r="T23" s="258" t="s">
        <v>676</v>
      </c>
      <c r="U23" s="262" t="s">
        <v>661</v>
      </c>
      <c r="V23" s="258"/>
      <c r="W23" s="263"/>
      <c r="X23" s="263"/>
      <c r="Y23" s="263"/>
      <c r="Z23" s="273"/>
      <c r="AA23" s="247" t="n">
        <v>4.0</v>
      </c>
      <c r="AB23" s="245" t="n">
        <v>0.0</v>
      </c>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t="n">
        <v>16.0</v>
      </c>
      <c r="B24" s="266" t="s">
        <v>624</v>
      </c>
      <c r="C24" s="251"/>
      <c r="D24" s="252" t="s">
        <v>116</v>
      </c>
      <c r="E24" s="252" t="s">
        <v>116</v>
      </c>
      <c r="F24" s="252"/>
      <c r="G24" s="265"/>
      <c r="H24" s="253" t="n">
        <v>4.0</v>
      </c>
      <c r="I24" s="254"/>
      <c r="J24" s="254"/>
      <c r="K24" s="254"/>
      <c r="L24" s="254"/>
      <c r="M24" s="254"/>
      <c r="N24" s="254"/>
      <c r="O24" s="254"/>
      <c r="P24" s="233"/>
      <c r="Q24" s="255" t="str">
        <f t="shared" si="0"/>
        <v/>
      </c>
      <c r="R24" s="264" t="str">
        <f>IF(Q24="","",Q24+R23+'OS Offset'!B24)</f>
        <v/>
      </c>
      <c r="S24" s="225">
        <f t="shared" si="1"/>
        <v>0</v>
      </c>
      <c r="T24" s="251" t="n">
        <v>16.0</v>
      </c>
      <c r="U24" s="256" t="s">
        <v>645</v>
      </c>
      <c r="V24" s="247"/>
      <c r="W24" s="245"/>
      <c r="X24" s="245"/>
      <c r="Y24" s="245"/>
      <c r="Z24" s="257"/>
      <c r="AA24" s="249" t="n">
        <v>4.0</v>
      </c>
      <c r="AB24" s="244"/>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t="n">
        <v>17.0</v>
      </c>
      <c r="B25" s="260" t="s">
        <v>610</v>
      </c>
      <c r="C25" s="259"/>
      <c r="D25" s="261"/>
      <c r="E25" s="261"/>
      <c r="F25" s="261"/>
      <c r="G25" s="250"/>
      <c r="H25" s="251" t="n">
        <v>0.0</v>
      </c>
      <c r="I25" s="252"/>
      <c r="J25" s="252"/>
      <c r="K25" s="252"/>
      <c r="L25" s="252"/>
      <c r="M25" s="252"/>
      <c r="N25" s="252"/>
      <c r="O25" s="252"/>
      <c r="P25" s="222"/>
      <c r="Q25" s="223" t="str">
        <f t="shared" si="0"/>
        <v/>
      </c>
      <c r="R25" s="264" t="str">
        <f>IF(Q25="","",Q25+R24+'OS Offset'!B25)</f>
        <v/>
      </c>
      <c r="S25" s="225">
        <f t="shared" si="1"/>
        <v>0</v>
      </c>
      <c r="T25" s="258" t="n">
        <v>17.0</v>
      </c>
      <c r="U25" s="262" t="s">
        <v>667</v>
      </c>
      <c r="V25" s="258"/>
      <c r="W25" s="263" t="s">
        <v>116</v>
      </c>
      <c r="X25" s="263" t="s">
        <v>116</v>
      </c>
      <c r="Y25" s="263"/>
      <c r="Z25" s="273" t="s">
        <v>116</v>
      </c>
      <c r="AA25" s="247"/>
      <c r="AB25" s="245"/>
      <c r="AC25" s="245"/>
      <c r="AD25" s="245"/>
      <c r="AE25" s="245"/>
      <c r="AF25" s="245"/>
      <c r="AG25" s="245"/>
      <c r="AH25" s="245"/>
      <c r="AI25" s="246"/>
      <c r="AJ25" s="240" t="str">
        <f t="shared" si="2"/>
        <v/>
      </c>
      <c r="AK25" s="224" t="str">
        <f>IF(AJ25="","",AJ25+AK24+'OS Offset'!I25)</f>
        <v/>
      </c>
      <c r="AL25" s="225">
        <f t="shared" si="3"/>
        <v>0</v>
      </c>
    </row>
    <row r="26" spans="1:38" ht="40.15" customHeight="1" x14ac:dyDescent="0.35">
      <c r="A26" s="251" t="n">
        <v>18.0</v>
      </c>
      <c r="B26" s="266" t="s">
        <v>626</v>
      </c>
      <c r="C26" s="251"/>
      <c r="D26" s="252" t="s">
        <v>116</v>
      </c>
      <c r="E26" s="252" t="s">
        <v>116</v>
      </c>
      <c r="F26" s="252"/>
      <c r="G26" s="265"/>
      <c r="H26" s="253" t="n">
        <v>4.0</v>
      </c>
      <c r="I26" s="254"/>
      <c r="J26" s="254"/>
      <c r="K26" s="254"/>
      <c r="L26" s="254"/>
      <c r="M26" s="254"/>
      <c r="N26" s="254"/>
      <c r="O26" s="254"/>
      <c r="P26" s="233"/>
      <c r="Q26" s="255" t="str">
        <f t="shared" si="0"/>
        <v/>
      </c>
      <c r="R26" s="264" t="str">
        <f>IF(Q26="","",Q26+R25+'OS Offset'!B26)</f>
        <v/>
      </c>
      <c r="S26" s="225">
        <f t="shared" si="1"/>
        <v>0</v>
      </c>
      <c r="T26" s="251" t="n">
        <v>18.0</v>
      </c>
      <c r="U26" s="256" t="s">
        <v>649</v>
      </c>
      <c r="V26" s="247"/>
      <c r="W26" s="245"/>
      <c r="X26" s="245"/>
      <c r="Y26" s="245"/>
      <c r="Z26" s="257"/>
      <c r="AA26" s="249" t="n">
        <v>0.0</v>
      </c>
      <c r="AB26" s="244"/>
      <c r="AC26" s="244"/>
      <c r="AD26" s="244"/>
      <c r="AE26" s="244"/>
      <c r="AF26" s="244"/>
      <c r="AG26" s="244"/>
      <c r="AH26" s="244"/>
      <c r="AI26" s="248"/>
      <c r="AJ26" s="241" t="str">
        <f t="shared" si="2"/>
        <v/>
      </c>
      <c r="AK26" s="224" t="str">
        <f>IF(AJ26="","",AJ26+AK25+'OS Offset'!I26)</f>
        <v/>
      </c>
      <c r="AL26" s="225">
        <f t="shared" si="3"/>
        <v>0</v>
      </c>
    </row>
    <row r="27" spans="1:38" ht="40.15" customHeight="1" x14ac:dyDescent="0.35">
      <c r="A27" s="259" t="n">
        <v>19.0</v>
      </c>
      <c r="B27" s="260" t="s">
        <v>628</v>
      </c>
      <c r="C27" s="259"/>
      <c r="D27" s="261"/>
      <c r="E27" s="261"/>
      <c r="F27" s="261"/>
      <c r="G27" s="250" t="s">
        <v>116</v>
      </c>
      <c r="H27" s="251"/>
      <c r="I27" s="252"/>
      <c r="J27" s="252"/>
      <c r="K27" s="252"/>
      <c r="L27" s="252"/>
      <c r="M27" s="252"/>
      <c r="N27" s="252"/>
      <c r="O27" s="252"/>
      <c r="P27" s="222"/>
      <c r="Q27" s="223" t="str">
        <f t="shared" si="0"/>
        <v/>
      </c>
      <c r="R27" s="264" t="str">
        <f>IF(Q27="","",Q27+R26+'OS Offset'!B27)</f>
        <v/>
      </c>
      <c r="S27" s="225">
        <f t="shared" si="1"/>
        <v>0</v>
      </c>
      <c r="T27" s="258" t="n">
        <v>19.0</v>
      </c>
      <c r="U27" s="262" t="s">
        <v>665</v>
      </c>
      <c r="V27" s="258"/>
      <c r="W27" s="263" t="s">
        <v>116</v>
      </c>
      <c r="X27" s="263" t="s">
        <v>116</v>
      </c>
      <c r="Y27" s="263"/>
      <c r="Z27" s="273"/>
      <c r="AA27" s="247" t="n">
        <v>2.0</v>
      </c>
      <c r="AB27" s="245"/>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t="n">
        <v>20.0</v>
      </c>
      <c r="B28" s="266" t="s">
        <v>624</v>
      </c>
      <c r="C28" s="251"/>
      <c r="D28" s="252" t="s">
        <v>116</v>
      </c>
      <c r="E28" s="252" t="s">
        <v>116</v>
      </c>
      <c r="F28" s="252"/>
      <c r="G28" s="265"/>
      <c r="H28" s="253" t="n">
        <v>4.0</v>
      </c>
      <c r="I28" s="254" t="n">
        <v>0.0</v>
      </c>
      <c r="J28" s="254"/>
      <c r="K28" s="254"/>
      <c r="L28" s="254"/>
      <c r="M28" s="254"/>
      <c r="N28" s="254"/>
      <c r="O28" s="254"/>
      <c r="P28" s="233"/>
      <c r="Q28" s="255" t="str">
        <f t="shared" si="0"/>
        <v/>
      </c>
      <c r="R28" s="264" t="str">
        <f>IF(Q28="","",Q28+R27+'OS Offset'!B28)</f>
        <v/>
      </c>
      <c r="S28" s="225">
        <f t="shared" si="1"/>
        <v>0</v>
      </c>
      <c r="T28" s="251" t="n">
        <v>20.0</v>
      </c>
      <c r="U28" s="256" t="s">
        <v>645</v>
      </c>
      <c r="V28" s="247"/>
      <c r="W28" s="245"/>
      <c r="X28" s="245"/>
      <c r="Y28" s="245"/>
      <c r="Z28" s="257"/>
      <c r="AA28" s="249" t="n">
        <v>4.0</v>
      </c>
      <c r="AB28" s="244" t="n">
        <v>4.0</v>
      </c>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t="n">
        <v>21.0</v>
      </c>
      <c r="B29" s="260" t="s">
        <v>626</v>
      </c>
      <c r="C29" s="259"/>
      <c r="D29" s="261" t="s">
        <v>116</v>
      </c>
      <c r="E29" s="261" t="s">
        <v>116</v>
      </c>
      <c r="F29" s="261"/>
      <c r="G29" s="250"/>
      <c r="H29" s="251" t="n">
        <v>1.0</v>
      </c>
      <c r="I29" s="252"/>
      <c r="J29" s="252"/>
      <c r="K29" s="252"/>
      <c r="L29" s="252"/>
      <c r="M29" s="252"/>
      <c r="N29" s="252"/>
      <c r="O29" s="252"/>
      <c r="P29" s="222"/>
      <c r="Q29" s="223" t="str">
        <f t="shared" si="0"/>
        <v/>
      </c>
      <c r="R29" s="264" t="str">
        <f>IF(Q29="","",Q29+R28+'OS Offset'!B29)</f>
        <v/>
      </c>
      <c r="S29" s="225">
        <f t="shared" si="1"/>
        <v>0</v>
      </c>
      <c r="T29" s="258" t="n">
        <v>21.0</v>
      </c>
      <c r="U29" s="262" t="s">
        <v>667</v>
      </c>
      <c r="V29" s="258"/>
      <c r="W29" s="263"/>
      <c r="X29" s="263"/>
      <c r="Y29" s="263"/>
      <c r="Z29" s="273"/>
      <c r="AA29" s="247" t="n">
        <v>0.0</v>
      </c>
      <c r="AB29" s="245"/>
      <c r="AC29" s="245"/>
      <c r="AD29" s="245"/>
      <c r="AE29" s="245"/>
      <c r="AF29" s="245"/>
      <c r="AG29" s="245"/>
      <c r="AH29" s="245"/>
      <c r="AI29" s="246"/>
      <c r="AJ29" s="240" t="str">
        <f t="shared" si="2"/>
        <v/>
      </c>
      <c r="AK29" s="224" t="str">
        <f>IF(AJ29="","",AJ29+AK28+'OS Offset'!I29)</f>
        <v/>
      </c>
      <c r="AL29" s="225">
        <f t="shared" si="3"/>
        <v>0</v>
      </c>
    </row>
    <row r="30" spans="1:38" ht="40.15" customHeight="1" x14ac:dyDescent="0.35">
      <c r="A30" s="251" t="n">
        <v>22.0</v>
      </c>
      <c r="B30" s="266" t="s">
        <v>610</v>
      </c>
      <c r="C30" s="251"/>
      <c r="D30" s="252" t="s">
        <v>116</v>
      </c>
      <c r="E30" s="252" t="s">
        <v>116</v>
      </c>
      <c r="F30" s="252"/>
      <c r="G30" s="265"/>
      <c r="H30" s="253" t="n">
        <v>4.0</v>
      </c>
      <c r="I30" s="254" t="n">
        <v>4.0</v>
      </c>
      <c r="J30" s="254" t="n">
        <v>0.0</v>
      </c>
      <c r="K30" s="254"/>
      <c r="L30" s="254"/>
      <c r="M30" s="254"/>
      <c r="N30" s="254"/>
      <c r="O30" s="254"/>
      <c r="P30" s="233"/>
      <c r="Q30" s="255" t="str">
        <f t="shared" si="0"/>
        <v/>
      </c>
      <c r="R30" s="264" t="str">
        <f>IF(Q30="","",Q30+R29+'OS Offset'!B30)</f>
        <v/>
      </c>
      <c r="S30" s="225">
        <f t="shared" si="1"/>
        <v>0</v>
      </c>
      <c r="T30" s="251" t="n">
        <v>22.0</v>
      </c>
      <c r="U30" s="256" t="s">
        <v>649</v>
      </c>
      <c r="V30" s="247"/>
      <c r="W30" s="245"/>
      <c r="X30" s="245"/>
      <c r="Y30" s="245"/>
      <c r="Z30" s="257" t="s">
        <v>116</v>
      </c>
      <c r="AA30" s="249"/>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c r="B31" s="260"/>
      <c r="C31" s="259"/>
      <c r="D31" s="261"/>
      <c r="E31" s="261"/>
      <c r="F31" s="261"/>
      <c r="G31" s="250"/>
      <c r="H31" s="251"/>
      <c r="I31" s="252"/>
      <c r="J31" s="252"/>
      <c r="K31" s="252"/>
      <c r="L31" s="252"/>
      <c r="M31" s="252"/>
      <c r="N31" s="252"/>
      <c r="O31" s="252"/>
      <c r="P31" s="222"/>
      <c r="Q31" s="223" t="str">
        <f t="shared" si="0"/>
        <v/>
      </c>
      <c r="R31" s="264" t="str">
        <f>IF(Q31="","",Q31+R30+'OS Offset'!B31)</f>
        <v/>
      </c>
      <c r="S31" s="225">
        <f t="shared" si="1"/>
        <v>0</v>
      </c>
      <c r="T31" s="258"/>
      <c r="U31" s="262"/>
      <c r="V31" s="258"/>
      <c r="W31" s="263"/>
      <c r="X31" s="263"/>
      <c r="Y31" s="263"/>
      <c r="Z31" s="273"/>
      <c r="AA31" s="247"/>
      <c r="AB31" s="245"/>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626</v>
      </c>
      <c r="C46" s="243"/>
      <c r="D46" s="277" t="s">
        <v>116</v>
      </c>
      <c r="E46" s="277" t="s">
        <v>116</v>
      </c>
      <c r="F46" s="277"/>
      <c r="G46" s="280"/>
      <c r="H46" s="281" t="n">
        <v>4.0</v>
      </c>
      <c r="I46" s="278" t="n">
        <v>4.0</v>
      </c>
      <c r="J46" s="278" t="n">
        <v>0.0</v>
      </c>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649</v>
      </c>
      <c r="V46" s="243"/>
      <c r="W46" s="277"/>
      <c r="X46" s="277"/>
      <c r="Y46" s="277"/>
      <c r="Z46" s="280" t="s">
        <v>116</v>
      </c>
      <c r="AA46" s="281"/>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n">
        <v>2.0</v>
      </c>
      <c r="B47" s="227" t="s">
        <v>628</v>
      </c>
      <c r="C47" s="228"/>
      <c r="D47" s="229" t="s">
        <v>116</v>
      </c>
      <c r="E47" s="229" t="s">
        <v>116</v>
      </c>
      <c r="F47" s="229"/>
      <c r="G47" s="230"/>
      <c r="H47" s="231" t="n">
        <v>2.0</v>
      </c>
      <c r="I47" s="221"/>
      <c r="J47" s="221"/>
      <c r="K47" s="221"/>
      <c r="L47" s="221"/>
      <c r="M47" s="221"/>
      <c r="N47" s="221"/>
      <c r="O47" s="221"/>
      <c r="P47" s="222"/>
      <c r="Q47" s="223" t="str">
        <f t="shared" si="6"/>
        <v/>
      </c>
      <c r="R47" s="224" t="str">
        <f>IF(Q47="","",Q47+R46+'OS Offset'!B47)</f>
        <v/>
      </c>
      <c r="S47" s="225">
        <f t="shared" si="7"/>
        <v>0</v>
      </c>
      <c r="T47" s="226" t="n">
        <v>2.0</v>
      </c>
      <c r="U47" s="227" t="s">
        <v>649</v>
      </c>
      <c r="V47" s="228"/>
      <c r="W47" s="229"/>
      <c r="X47" s="229"/>
      <c r="Y47" s="229"/>
      <c r="Z47" s="230"/>
      <c r="AA47" s="231" t="n">
        <v>2.0</v>
      </c>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n">
        <v>3.0</v>
      </c>
      <c r="B48" s="239" t="s">
        <v>624</v>
      </c>
      <c r="C48" s="231" t="s">
        <v>116</v>
      </c>
      <c r="D48" s="221" t="s">
        <v>116</v>
      </c>
      <c r="E48" s="221"/>
      <c r="F48" s="221"/>
      <c r="G48" s="236"/>
      <c r="H48" s="237" t="n">
        <v>4.0</v>
      </c>
      <c r="I48" s="232" t="n">
        <v>2.0</v>
      </c>
      <c r="J48" s="232"/>
      <c r="K48" s="232"/>
      <c r="L48" s="232"/>
      <c r="M48" s="232"/>
      <c r="N48" s="232"/>
      <c r="O48" s="232"/>
      <c r="P48" s="233"/>
      <c r="Q48" s="241" t="str">
        <f t="shared" si="6"/>
        <v/>
      </c>
      <c r="R48" s="224" t="str">
        <f>IF(Q48="","",Q48+R47+'OS Offset'!B48)</f>
        <v/>
      </c>
      <c r="S48" s="225">
        <f t="shared" si="7"/>
        <v>0</v>
      </c>
      <c r="T48" s="238" t="n">
        <v>3.0</v>
      </c>
      <c r="U48" s="239" t="s">
        <v>645</v>
      </c>
      <c r="V48" s="231"/>
      <c r="W48" s="221"/>
      <c r="X48" s="221"/>
      <c r="Y48" s="221"/>
      <c r="Z48" s="236"/>
      <c r="AA48" s="237" t="n">
        <v>4.0</v>
      </c>
      <c r="AB48" s="232" t="n">
        <v>4.0</v>
      </c>
      <c r="AC48" s="232" t="n">
        <v>4.0</v>
      </c>
      <c r="AD48" s="232" t="n">
        <v>3.0</v>
      </c>
      <c r="AE48" s="232"/>
      <c r="AF48" s="232"/>
      <c r="AG48" s="232"/>
      <c r="AH48" s="232"/>
      <c r="AI48" s="233"/>
      <c r="AJ48" s="234" t="str">
        <f t="shared" si="8"/>
        <v/>
      </c>
      <c r="AK48" s="224" t="str">
        <f>IF(AJ48="","",AJ48+AK47+'OS Offset'!I48)</f>
        <v/>
      </c>
      <c r="AL48" s="225">
        <f t="shared" si="9"/>
        <v>0</v>
      </c>
    </row>
    <row r="49" spans="1:38" ht="40.15" customHeight="1" x14ac:dyDescent="0.35">
      <c r="A49" s="228" t="n">
        <v>4.0</v>
      </c>
      <c r="B49" s="227" t="s">
        <v>610</v>
      </c>
      <c r="C49" s="228"/>
      <c r="D49" s="229"/>
      <c r="E49" s="229"/>
      <c r="F49" s="229"/>
      <c r="G49" s="230"/>
      <c r="H49" s="231" t="n">
        <v>0.0</v>
      </c>
      <c r="I49" s="221"/>
      <c r="J49" s="221"/>
      <c r="K49" s="221"/>
      <c r="L49" s="221"/>
      <c r="M49" s="221"/>
      <c r="N49" s="221"/>
      <c r="O49" s="221"/>
      <c r="P49" s="222"/>
      <c r="Q49" s="240" t="str">
        <f t="shared" si="6"/>
        <v/>
      </c>
      <c r="R49" s="224" t="str">
        <f>IF(Q49="","",Q49+R48+'OS Offset'!B49)</f>
        <v/>
      </c>
      <c r="S49" s="225">
        <f t="shared" si="7"/>
        <v>0</v>
      </c>
      <c r="T49" s="226" t="n">
        <v>4.0</v>
      </c>
      <c r="U49" s="227" t="s">
        <v>667</v>
      </c>
      <c r="V49" s="228"/>
      <c r="W49" s="229" t="s">
        <v>116</v>
      </c>
      <c r="X49" s="229" t="s">
        <v>116</v>
      </c>
      <c r="Y49" s="229"/>
      <c r="Z49" s="230"/>
      <c r="AA49" s="231" t="n">
        <v>4.0</v>
      </c>
      <c r="AB49" s="221" t="n">
        <v>4.0</v>
      </c>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n">
        <v>5.0</v>
      </c>
      <c r="B50" s="239" t="s">
        <v>626</v>
      </c>
      <c r="C50" s="231"/>
      <c r="D50" s="221"/>
      <c r="E50" s="221"/>
      <c r="F50" s="221"/>
      <c r="G50" s="236" t="s">
        <v>116</v>
      </c>
      <c r="H50" s="237"/>
      <c r="I50" s="232"/>
      <c r="J50" s="232"/>
      <c r="K50" s="232"/>
      <c r="L50" s="232"/>
      <c r="M50" s="232"/>
      <c r="N50" s="232"/>
      <c r="O50" s="232"/>
      <c r="P50" s="233"/>
      <c r="Q50" s="241" t="str">
        <f t="shared" si="6"/>
        <v/>
      </c>
      <c r="R50" s="224" t="str">
        <f>IF(Q50="","",Q50+R49+'OS Offset'!B50)</f>
        <v/>
      </c>
      <c r="S50" s="225">
        <f t="shared" si="7"/>
        <v>0</v>
      </c>
      <c r="T50" s="238" t="n">
        <v>5.0</v>
      </c>
      <c r="U50" s="239" t="s">
        <v>649</v>
      </c>
      <c r="V50" s="231"/>
      <c r="W50" s="221" t="s">
        <v>116</v>
      </c>
      <c r="X50" s="221" t="s">
        <v>116</v>
      </c>
      <c r="Y50" s="221"/>
      <c r="Z50" s="236"/>
      <c r="AA50" s="237" t="n">
        <v>3.0</v>
      </c>
      <c r="AB50" s="232"/>
      <c r="AC50" s="232"/>
      <c r="AD50" s="232"/>
      <c r="AE50" s="232"/>
      <c r="AF50" s="232"/>
      <c r="AG50" s="232"/>
      <c r="AH50" s="232"/>
      <c r="AI50" s="233"/>
      <c r="AJ50" s="234" t="str">
        <f t="shared" si="8"/>
        <v/>
      </c>
      <c r="AK50" s="224" t="str">
        <f>IF(AJ50="","",AJ50+AK49+'OS Offset'!I50)</f>
        <v/>
      </c>
      <c r="AL50" s="225">
        <f t="shared" si="9"/>
        <v>0</v>
      </c>
    </row>
    <row r="51" spans="1:38" ht="40.15" customHeight="1" x14ac:dyDescent="0.35">
      <c r="A51" s="228" t="s">
        <v>676</v>
      </c>
      <c r="B51" s="227" t="s">
        <v>630</v>
      </c>
      <c r="C51" s="228"/>
      <c r="D51" s="229"/>
      <c r="E51" s="229"/>
      <c r="F51" s="229"/>
      <c r="G51" s="230"/>
      <c r="H51" s="231" t="n">
        <v>1.0</v>
      </c>
      <c r="I51" s="221"/>
      <c r="J51" s="221"/>
      <c r="K51" s="221"/>
      <c r="L51" s="221"/>
      <c r="M51" s="221"/>
      <c r="N51" s="221"/>
      <c r="O51" s="221"/>
      <c r="P51" s="222"/>
      <c r="Q51" s="240" t="str">
        <f t="shared" si="6"/>
        <v/>
      </c>
      <c r="R51" s="224" t="str">
        <f>IF(Q51="","",Q51+R50+'OS Offset'!B51)</f>
        <v/>
      </c>
      <c r="S51" s="225">
        <f t="shared" si="7"/>
        <v>0</v>
      </c>
      <c r="T51" s="226" t="s">
        <v>677</v>
      </c>
      <c r="U51" s="227"/>
      <c r="V51" s="228"/>
      <c r="W51" s="229"/>
      <c r="X51" s="229"/>
      <c r="Y51" s="229"/>
      <c r="Z51" s="230"/>
      <c r="AA51" s="231"/>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n">
        <v>6.0</v>
      </c>
      <c r="B52" s="239" t="s">
        <v>628</v>
      </c>
      <c r="C52" s="231"/>
      <c r="D52" s="221"/>
      <c r="E52" s="221"/>
      <c r="F52" s="221"/>
      <c r="G52" s="236"/>
      <c r="H52" s="237" t="n">
        <v>0.0</v>
      </c>
      <c r="I52" s="232"/>
      <c r="J52" s="232"/>
      <c r="K52" s="232"/>
      <c r="L52" s="232"/>
      <c r="M52" s="232"/>
      <c r="N52" s="232"/>
      <c r="O52" s="232"/>
      <c r="P52" s="233"/>
      <c r="Q52" s="241" t="str">
        <f t="shared" si="6"/>
        <v/>
      </c>
      <c r="R52" s="224" t="str">
        <f>IF(Q52="","",Q52+R51+'OS Offset'!B52)</f>
        <v/>
      </c>
      <c r="S52" s="225">
        <f t="shared" si="7"/>
        <v>0</v>
      </c>
      <c r="T52" s="238" t="n">
        <v>6.0</v>
      </c>
      <c r="U52" s="239" t="s">
        <v>645</v>
      </c>
      <c r="V52" s="231"/>
      <c r="W52" s="221" t="s">
        <v>116</v>
      </c>
      <c r="X52" s="221" t="s">
        <v>116</v>
      </c>
      <c r="Y52" s="221"/>
      <c r="Z52" s="236"/>
      <c r="AA52" s="237" t="n">
        <v>4.0</v>
      </c>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t="n">
        <v>7.0</v>
      </c>
      <c r="B53" s="227" t="s">
        <v>624</v>
      </c>
      <c r="C53" s="228"/>
      <c r="D53" s="229"/>
      <c r="E53" s="229"/>
      <c r="F53" s="229"/>
      <c r="G53" s="230" t="s">
        <v>116</v>
      </c>
      <c r="H53" s="231"/>
      <c r="I53" s="221"/>
      <c r="J53" s="221"/>
      <c r="K53" s="221"/>
      <c r="L53" s="221"/>
      <c r="M53" s="221"/>
      <c r="N53" s="221"/>
      <c r="O53" s="221"/>
      <c r="P53" s="222"/>
      <c r="Q53" s="240" t="str">
        <f t="shared" si="6"/>
        <v/>
      </c>
      <c r="R53" s="224" t="str">
        <f>IF(Q53="","",Q53+R52+'OS Offset'!B53)</f>
        <v/>
      </c>
      <c r="S53" s="225">
        <f t="shared" si="7"/>
        <v>0</v>
      </c>
      <c r="T53" s="226" t="n">
        <v>7.0</v>
      </c>
      <c r="U53" s="227" t="s">
        <v>667</v>
      </c>
      <c r="V53" s="228"/>
      <c r="W53" s="229" t="s">
        <v>116</v>
      </c>
      <c r="X53" s="229"/>
      <c r="Y53" s="229"/>
      <c r="Z53" s="230"/>
      <c r="AA53" s="231" t="n">
        <v>4.0</v>
      </c>
      <c r="AB53" s="221" t="n">
        <v>4.0</v>
      </c>
      <c r="AC53" s="221" t="n">
        <v>4.0</v>
      </c>
      <c r="AD53" s="221"/>
      <c r="AE53" s="221"/>
      <c r="AF53" s="221"/>
      <c r="AG53" s="221"/>
      <c r="AH53" s="221"/>
      <c r="AI53" s="222"/>
      <c r="AJ53" s="223" t="str">
        <f t="shared" si="8"/>
        <v/>
      </c>
      <c r="AK53" s="224" t="str">
        <f>IF(AJ53="","",AJ53+AK52+'OS Offset'!I53)</f>
        <v/>
      </c>
      <c r="AL53" s="225">
        <f t="shared" si="9"/>
        <v>0</v>
      </c>
    </row>
    <row r="54" spans="1:38" ht="40.15" customHeight="1" x14ac:dyDescent="0.35">
      <c r="A54" s="242" t="n">
        <v>8.0</v>
      </c>
      <c r="B54" s="239" t="s">
        <v>610</v>
      </c>
      <c r="C54" s="231"/>
      <c r="D54" s="221"/>
      <c r="E54" s="221"/>
      <c r="F54" s="221"/>
      <c r="G54" s="236"/>
      <c r="H54" s="237" t="n">
        <v>0.0</v>
      </c>
      <c r="I54" s="232"/>
      <c r="J54" s="232"/>
      <c r="K54" s="232"/>
      <c r="L54" s="232"/>
      <c r="M54" s="232"/>
      <c r="N54" s="232"/>
      <c r="O54" s="232"/>
      <c r="P54" s="233"/>
      <c r="Q54" s="241" t="str">
        <f t="shared" si="6"/>
        <v/>
      </c>
      <c r="R54" s="224" t="str">
        <f>IF(Q54="","",Q54+R53+'OS Offset'!B54)</f>
        <v/>
      </c>
      <c r="S54" s="225">
        <f t="shared" si="7"/>
        <v>0</v>
      </c>
      <c r="T54" s="238" t="n">
        <v>8.0</v>
      </c>
      <c r="U54" s="239" t="s">
        <v>661</v>
      </c>
      <c r="V54" s="231"/>
      <c r="W54" s="221" t="s">
        <v>116</v>
      </c>
      <c r="X54" s="221" t="s">
        <v>116</v>
      </c>
      <c r="Y54" s="221"/>
      <c r="Z54" s="236"/>
      <c r="AA54" s="237" t="n">
        <v>4.0</v>
      </c>
      <c r="AB54" s="232" t="n">
        <v>0.0</v>
      </c>
      <c r="AC54" s="232"/>
      <c r="AD54" s="232"/>
      <c r="AE54" s="232"/>
      <c r="AF54" s="232"/>
      <c r="AG54" s="232"/>
      <c r="AH54" s="232"/>
      <c r="AI54" s="233"/>
      <c r="AJ54" s="234" t="str">
        <f t="shared" si="8"/>
        <v/>
      </c>
      <c r="AK54" s="224" t="str">
        <f>IF(AJ54="","",AJ54+AK53+'OS Offset'!I54)</f>
        <v/>
      </c>
      <c r="AL54" s="225">
        <f t="shared" si="9"/>
        <v>0</v>
      </c>
    </row>
    <row r="55" spans="1:38" ht="40.15" customHeight="1" x14ac:dyDescent="0.35">
      <c r="A55" s="228" t="n">
        <v>9.0</v>
      </c>
      <c r="B55" s="227" t="s">
        <v>626</v>
      </c>
      <c r="C55" s="228"/>
      <c r="D55" s="229" t="s">
        <v>116</v>
      </c>
      <c r="E55" s="229" t="s">
        <v>116</v>
      </c>
      <c r="F55" s="229"/>
      <c r="G55" s="230"/>
      <c r="H55" s="231" t="n">
        <v>4.0</v>
      </c>
      <c r="I55" s="221" t="n">
        <v>0.0</v>
      </c>
      <c r="J55" s="221"/>
      <c r="K55" s="221"/>
      <c r="L55" s="221"/>
      <c r="M55" s="221"/>
      <c r="N55" s="221"/>
      <c r="O55" s="221"/>
      <c r="P55" s="222"/>
      <c r="Q55" s="240" t="str">
        <f t="shared" si="6"/>
        <v/>
      </c>
      <c r="R55" s="224" t="str">
        <f>IF(Q55="","",Q55+R54+'OS Offset'!B55)</f>
        <v/>
      </c>
      <c r="S55" s="225">
        <f t="shared" si="7"/>
        <v>0</v>
      </c>
      <c r="T55" s="226" t="n">
        <v>9.0</v>
      </c>
      <c r="U55" s="227" t="s">
        <v>649</v>
      </c>
      <c r="V55" s="228"/>
      <c r="W55" s="229"/>
      <c r="X55" s="229"/>
      <c r="Y55" s="229"/>
      <c r="Z55" s="230"/>
      <c r="AA55" s="231" t="n">
        <v>0.0</v>
      </c>
      <c r="AB55" s="221"/>
      <c r="AC55" s="221"/>
      <c r="AD55" s="221"/>
      <c r="AE55" s="221"/>
      <c r="AF55" s="221"/>
      <c r="AG55" s="221"/>
      <c r="AH55" s="221"/>
      <c r="AI55" s="222"/>
      <c r="AJ55" s="223" t="str">
        <f t="shared" si="8"/>
        <v/>
      </c>
      <c r="AK55" s="224" t="str">
        <f>IF(AJ55="","",AJ55+AK54+'OS Offset'!I55)</f>
        <v/>
      </c>
      <c r="AL55" s="225">
        <f t="shared" si="9"/>
        <v>0</v>
      </c>
    </row>
    <row r="56" spans="1:38" ht="40.15" customHeight="1" x14ac:dyDescent="0.35">
      <c r="A56" s="242" t="n">
        <v>10.0</v>
      </c>
      <c r="B56" s="239" t="s">
        <v>628</v>
      </c>
      <c r="C56" s="231"/>
      <c r="D56" s="221" t="s">
        <v>116</v>
      </c>
      <c r="E56" s="221" t="s">
        <v>116</v>
      </c>
      <c r="F56" s="221"/>
      <c r="G56" s="236"/>
      <c r="H56" s="237" t="n">
        <v>0.0</v>
      </c>
      <c r="I56" s="232"/>
      <c r="J56" s="232"/>
      <c r="K56" s="232"/>
      <c r="L56" s="232"/>
      <c r="M56" s="232"/>
      <c r="N56" s="232"/>
      <c r="O56" s="232"/>
      <c r="P56" s="233"/>
      <c r="Q56" s="241" t="str">
        <f t="shared" si="6"/>
        <v/>
      </c>
      <c r="R56" s="224" t="str">
        <f>IF(Q56="","",Q56+R55+'OS Offset'!B56)</f>
        <v/>
      </c>
      <c r="S56" s="225">
        <f t="shared" si="7"/>
        <v>0</v>
      </c>
      <c r="T56" s="238" t="n">
        <v>10.0</v>
      </c>
      <c r="U56" s="239" t="s">
        <v>645</v>
      </c>
      <c r="V56" s="231"/>
      <c r="W56" s="221"/>
      <c r="X56" s="221"/>
      <c r="Y56" s="221"/>
      <c r="Z56" s="236"/>
      <c r="AA56" s="237" t="n">
        <v>0.0</v>
      </c>
      <c r="AB56" s="232"/>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t="n">
        <v>11.0</v>
      </c>
      <c r="B57" s="227" t="s">
        <v>624</v>
      </c>
      <c r="C57" s="228"/>
      <c r="D57" s="229"/>
      <c r="E57" s="229"/>
      <c r="F57" s="229"/>
      <c r="G57" s="230"/>
      <c r="H57" s="231" t="n">
        <v>0.0</v>
      </c>
      <c r="I57" s="221"/>
      <c r="J57" s="221"/>
      <c r="K57" s="221"/>
      <c r="L57" s="221"/>
      <c r="M57" s="221"/>
      <c r="N57" s="221"/>
      <c r="O57" s="221"/>
      <c r="P57" s="222"/>
      <c r="Q57" s="240" t="str">
        <f t="shared" si="6"/>
        <v/>
      </c>
      <c r="R57" s="224" t="str">
        <f>IF(Q57="","",Q57+R56+'OS Offset'!B57)</f>
        <v/>
      </c>
      <c r="S57" s="225">
        <f t="shared" si="7"/>
        <v>0</v>
      </c>
      <c r="T57" s="226" t="n">
        <v>11.0</v>
      </c>
      <c r="U57" s="227" t="s">
        <v>667</v>
      </c>
      <c r="V57" s="228"/>
      <c r="W57" s="229" t="s">
        <v>116</v>
      </c>
      <c r="X57" s="229" t="s">
        <v>116</v>
      </c>
      <c r="Y57" s="229"/>
      <c r="Z57" s="230"/>
      <c r="AA57" s="231" t="n">
        <v>2.0</v>
      </c>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t="n">
        <v>12.0</v>
      </c>
      <c r="B58" s="239" t="s">
        <v>610</v>
      </c>
      <c r="C58" s="231"/>
      <c r="D58" s="221" t="s">
        <v>116</v>
      </c>
      <c r="E58" s="221" t="s">
        <v>116</v>
      </c>
      <c r="F58" s="221"/>
      <c r="G58" s="236"/>
      <c r="H58" s="237" t="n">
        <v>4.0</v>
      </c>
      <c r="I58" s="232" t="n">
        <v>4.0</v>
      </c>
      <c r="J58" s="232" t="n">
        <v>4.0</v>
      </c>
      <c r="K58" s="232" t="n">
        <v>0.0</v>
      </c>
      <c r="L58" s="232"/>
      <c r="M58" s="232"/>
      <c r="N58" s="232"/>
      <c r="O58" s="232"/>
      <c r="P58" s="233"/>
      <c r="Q58" s="241" t="str">
        <f t="shared" si="6"/>
        <v/>
      </c>
      <c r="R58" s="224" t="str">
        <f>IF(Q58="","",Q58+R57+'OS Offset'!B58)</f>
        <v/>
      </c>
      <c r="S58" s="225">
        <f t="shared" si="7"/>
        <v>0</v>
      </c>
      <c r="T58" s="238" t="n">
        <v>12.0</v>
      </c>
      <c r="U58" s="239" t="s">
        <v>649</v>
      </c>
      <c r="V58" s="231"/>
      <c r="W58" s="221"/>
      <c r="X58" s="221"/>
      <c r="Y58" s="221"/>
      <c r="Z58" s="236"/>
      <c r="AA58" s="237" t="n">
        <v>3.0</v>
      </c>
      <c r="AB58" s="232"/>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t="n">
        <v>13.0</v>
      </c>
      <c r="B59" s="227" t="s">
        <v>626</v>
      </c>
      <c r="C59" s="228"/>
      <c r="D59" s="229" t="s">
        <v>116</v>
      </c>
      <c r="E59" s="229"/>
      <c r="F59" s="229" t="s">
        <v>116</v>
      </c>
      <c r="G59" s="230"/>
      <c r="H59" s="231" t="n">
        <v>0.0</v>
      </c>
      <c r="I59" s="221"/>
      <c r="J59" s="221"/>
      <c r="K59" s="221"/>
      <c r="L59" s="221"/>
      <c r="M59" s="221"/>
      <c r="N59" s="221"/>
      <c r="O59" s="221"/>
      <c r="P59" s="222"/>
      <c r="Q59" s="240" t="str">
        <f t="shared" si="6"/>
        <v/>
      </c>
      <c r="R59" s="224" t="str">
        <f>IF(Q59="","",Q59+R58+'OS Offset'!B59)</f>
        <v/>
      </c>
      <c r="S59" s="225">
        <f t="shared" si="7"/>
        <v>0</v>
      </c>
      <c r="T59" s="226" t="n">
        <v>13.0</v>
      </c>
      <c r="U59" s="227" t="s">
        <v>665</v>
      </c>
      <c r="V59" s="228"/>
      <c r="W59" s="229"/>
      <c r="X59" s="229"/>
      <c r="Y59" s="229" t="s">
        <v>116</v>
      </c>
      <c r="Z59" s="230" t="s">
        <v>116</v>
      </c>
      <c r="AA59" s="231"/>
      <c r="AB59" s="221"/>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t="n">
        <v>14.0</v>
      </c>
      <c r="B60" s="239" t="s">
        <v>628</v>
      </c>
      <c r="C60" s="231"/>
      <c r="D60" s="221"/>
      <c r="E60" s="221"/>
      <c r="F60" s="221"/>
      <c r="G60" s="236" t="s">
        <v>116</v>
      </c>
      <c r="H60" s="237"/>
      <c r="I60" s="232"/>
      <c r="J60" s="232"/>
      <c r="K60" s="232"/>
      <c r="L60" s="232"/>
      <c r="M60" s="232"/>
      <c r="N60" s="232"/>
      <c r="O60" s="232"/>
      <c r="P60" s="233"/>
      <c r="Q60" s="241" t="str">
        <f t="shared" si="6"/>
        <v/>
      </c>
      <c r="R60" s="224" t="str">
        <f>IF(Q60="","",Q60+R59+'OS Offset'!B60)</f>
        <v/>
      </c>
      <c r="S60" s="225">
        <f t="shared" si="7"/>
        <v>0</v>
      </c>
      <c r="T60" s="238" t="n">
        <v>14.0</v>
      </c>
      <c r="U60" s="239" t="s">
        <v>645</v>
      </c>
      <c r="V60" s="231"/>
      <c r="W60" s="221" t="s">
        <v>116</v>
      </c>
      <c r="X60" s="221" t="s">
        <v>116</v>
      </c>
      <c r="Y60" s="221"/>
      <c r="Z60" s="236"/>
      <c r="AA60" s="237" t="n">
        <v>4.0</v>
      </c>
      <c r="AB60" s="232" t="n">
        <v>4.0</v>
      </c>
      <c r="AC60" s="232" t="n">
        <v>4.0</v>
      </c>
      <c r="AD60" s="232" t="n">
        <v>4.0</v>
      </c>
      <c r="AE60" s="232" t="n">
        <v>4.0</v>
      </c>
      <c r="AF60" s="232"/>
      <c r="AG60" s="232"/>
      <c r="AH60" s="232"/>
      <c r="AI60" s="233"/>
      <c r="AJ60" s="234" t="str">
        <f t="shared" si="8"/>
        <v/>
      </c>
      <c r="AK60" s="224" t="str">
        <f>IF(AJ60="","",AJ60+AK59+'OS Offset'!I60)</f>
        <v/>
      </c>
      <c r="AL60" s="225">
        <f t="shared" si="9"/>
        <v>0</v>
      </c>
    </row>
    <row r="61" spans="1:38" ht="40.15" customHeight="1" x14ac:dyDescent="0.35">
      <c r="A61" s="228" t="s">
        <v>676</v>
      </c>
      <c r="B61" s="227" t="s">
        <v>585</v>
      </c>
      <c r="C61" s="228"/>
      <c r="D61" s="229"/>
      <c r="E61" s="229"/>
      <c r="F61" s="229"/>
      <c r="G61" s="230"/>
      <c r="H61" s="231" t="n">
        <v>0.0</v>
      </c>
      <c r="I61" s="221"/>
      <c r="J61" s="221"/>
      <c r="K61" s="221"/>
      <c r="L61" s="221"/>
      <c r="M61" s="221"/>
      <c r="N61" s="221"/>
      <c r="O61" s="221"/>
      <c r="P61" s="222"/>
      <c r="Q61" s="240" t="str">
        <f t="shared" si="6"/>
        <v/>
      </c>
      <c r="R61" s="224" t="str">
        <f>IF(Q61="","",Q61+R60+'OS Offset'!B61)</f>
        <v/>
      </c>
      <c r="S61" s="225">
        <f t="shared" si="7"/>
        <v>0</v>
      </c>
      <c r="T61" s="226" t="s">
        <v>677</v>
      </c>
      <c r="U61" s="227"/>
      <c r="V61" s="228"/>
      <c r="W61" s="229"/>
      <c r="X61" s="229"/>
      <c r="Y61" s="229"/>
      <c r="Z61" s="230"/>
      <c r="AA61" s="231"/>
      <c r="AB61" s="221"/>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t="n">
        <v>15.0</v>
      </c>
      <c r="B62" s="239" t="s">
        <v>624</v>
      </c>
      <c r="C62" s="231"/>
      <c r="D62" s="221" t="s">
        <v>116</v>
      </c>
      <c r="E62" s="221" t="s">
        <v>116</v>
      </c>
      <c r="F62" s="221"/>
      <c r="G62" s="236"/>
      <c r="H62" s="237" t="n">
        <v>0.0</v>
      </c>
      <c r="I62" s="232"/>
      <c r="J62" s="232"/>
      <c r="K62" s="232"/>
      <c r="L62" s="232"/>
      <c r="M62" s="232"/>
      <c r="N62" s="232"/>
      <c r="O62" s="232"/>
      <c r="P62" s="233"/>
      <c r="Q62" s="241" t="str">
        <f t="shared" si="6"/>
        <v/>
      </c>
      <c r="R62" s="224" t="str">
        <f>IF(Q62="","",Q62+R61+'OS Offset'!B62)</f>
        <v/>
      </c>
      <c r="S62" s="225">
        <f t="shared" si="7"/>
        <v>0</v>
      </c>
      <c r="T62" s="238" t="n">
        <v>15.0</v>
      </c>
      <c r="U62" s="239" t="s">
        <v>667</v>
      </c>
      <c r="V62" s="231"/>
      <c r="W62" s="221"/>
      <c r="X62" s="221"/>
      <c r="Y62" s="221"/>
      <c r="Z62" s="236"/>
      <c r="AA62" s="237" t="n">
        <v>0.0</v>
      </c>
      <c r="AB62" s="232"/>
      <c r="AC62" s="232"/>
      <c r="AD62" s="232"/>
      <c r="AE62" s="232"/>
      <c r="AF62" s="232"/>
      <c r="AG62" s="232"/>
      <c r="AH62" s="232"/>
      <c r="AI62" s="233"/>
      <c r="AJ62" s="234" t="str">
        <f t="shared" si="8"/>
        <v/>
      </c>
      <c r="AK62" s="224" t="str">
        <f>IF(AJ62="","",AJ62+AK61+'OS Offset'!I62)</f>
        <v/>
      </c>
      <c r="AL62" s="225">
        <f t="shared" si="9"/>
        <v>0</v>
      </c>
    </row>
    <row r="63" spans="1:38" ht="40.15" customHeight="1" x14ac:dyDescent="0.35">
      <c r="A63" s="228" t="n">
        <v>16.0</v>
      </c>
      <c r="B63" s="227" t="s">
        <v>610</v>
      </c>
      <c r="C63" s="228"/>
      <c r="D63" s="229"/>
      <c r="E63" s="229"/>
      <c r="F63" s="229"/>
      <c r="G63" s="230"/>
      <c r="H63" s="231" t="n">
        <v>0.0</v>
      </c>
      <c r="I63" s="221"/>
      <c r="J63" s="221"/>
      <c r="K63" s="221"/>
      <c r="L63" s="221"/>
      <c r="M63" s="221"/>
      <c r="N63" s="221"/>
      <c r="O63" s="221"/>
      <c r="P63" s="222"/>
      <c r="Q63" s="240" t="str">
        <f t="shared" si="6"/>
        <v/>
      </c>
      <c r="R63" s="224" t="str">
        <f>IF(Q63="","",Q63+R62+'OS Offset'!B63)</f>
        <v/>
      </c>
      <c r="S63" s="225">
        <f t="shared" si="7"/>
        <v>0</v>
      </c>
      <c r="T63" s="226" t="n">
        <v>16.0</v>
      </c>
      <c r="U63" s="227" t="s">
        <v>649</v>
      </c>
      <c r="V63" s="228"/>
      <c r="W63" s="229" t="s">
        <v>116</v>
      </c>
      <c r="X63" s="229" t="s">
        <v>116</v>
      </c>
      <c r="Y63" s="229"/>
      <c r="Z63" s="230"/>
      <c r="AA63" s="231" t="n">
        <v>4.0</v>
      </c>
      <c r="AB63" s="221"/>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n">
        <v>17.0</v>
      </c>
      <c r="B64" s="239" t="s">
        <v>626</v>
      </c>
      <c r="C64" s="231"/>
      <c r="D64" s="221"/>
      <c r="E64" s="221"/>
      <c r="F64" s="221"/>
      <c r="G64" s="236"/>
      <c r="H64" s="237" t="n">
        <v>0.0</v>
      </c>
      <c r="I64" s="232"/>
      <c r="J64" s="232"/>
      <c r="K64" s="232"/>
      <c r="L64" s="232"/>
      <c r="M64" s="232"/>
      <c r="N64" s="232"/>
      <c r="O64" s="232"/>
      <c r="P64" s="233"/>
      <c r="Q64" s="241" t="str">
        <f t="shared" si="6"/>
        <v/>
      </c>
      <c r="R64" s="224" t="str">
        <f>IF(Q64="","",Q64+R63+'OS Offset'!B64)</f>
        <v/>
      </c>
      <c r="S64" s="225">
        <f t="shared" si="7"/>
        <v>0</v>
      </c>
      <c r="T64" s="238" t="n">
        <v>17.0</v>
      </c>
      <c r="U64" s="239" t="s">
        <v>645</v>
      </c>
      <c r="V64" s="231"/>
      <c r="W64" s="221" t="s">
        <v>116</v>
      </c>
      <c r="X64" s="221" t="s">
        <v>116</v>
      </c>
      <c r="Y64" s="221"/>
      <c r="Z64" s="236"/>
      <c r="AA64" s="237" t="n">
        <v>4.0</v>
      </c>
      <c r="AB64" s="232" t="n">
        <v>0.0</v>
      </c>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t="n">
        <v>18.0</v>
      </c>
      <c r="B65" s="227" t="s">
        <v>628</v>
      </c>
      <c r="C65" s="228"/>
      <c r="D65" s="229"/>
      <c r="E65" s="229"/>
      <c r="F65" s="229"/>
      <c r="G65" s="230"/>
      <c r="H65" s="231" t="n">
        <v>0.0</v>
      </c>
      <c r="I65" s="221"/>
      <c r="J65" s="221"/>
      <c r="K65" s="221"/>
      <c r="L65" s="221"/>
      <c r="M65" s="221"/>
      <c r="N65" s="221"/>
      <c r="O65" s="221"/>
      <c r="P65" s="222"/>
      <c r="Q65" s="240" t="str">
        <f t="shared" si="6"/>
        <v/>
      </c>
      <c r="R65" s="224" t="str">
        <f>IF(Q65="","",Q65+R64+'OS Offset'!B65)</f>
        <v/>
      </c>
      <c r="S65" s="225">
        <f t="shared" si="7"/>
        <v>0</v>
      </c>
      <c r="T65" s="226" t="n">
        <v>18.0</v>
      </c>
      <c r="U65" s="227" t="s">
        <v>667</v>
      </c>
      <c r="V65" s="228"/>
      <c r="W65" s="229" t="s">
        <v>116</v>
      </c>
      <c r="X65" s="229" t="s">
        <v>116</v>
      </c>
      <c r="Y65" s="229"/>
      <c r="Z65" s="230"/>
      <c r="AA65" s="231" t="n">
        <v>3.0</v>
      </c>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n">
        <v>19.0</v>
      </c>
      <c r="B66" s="239" t="s">
        <v>585</v>
      </c>
      <c r="C66" s="231"/>
      <c r="D66" s="221"/>
      <c r="E66" s="221"/>
      <c r="F66" s="221"/>
      <c r="G66" s="236"/>
      <c r="H66" s="237" t="n">
        <v>4.0</v>
      </c>
      <c r="I66" s="232" t="n">
        <v>0.0</v>
      </c>
      <c r="J66" s="232"/>
      <c r="K66" s="232"/>
      <c r="L66" s="232"/>
      <c r="M66" s="232"/>
      <c r="N66" s="232"/>
      <c r="O66" s="232"/>
      <c r="P66" s="233"/>
      <c r="Q66" s="241" t="str">
        <f t="shared" si="6"/>
        <v/>
      </c>
      <c r="R66" s="224" t="str">
        <f>IF(Q66="","",Q66+R65+'OS Offset'!B66)</f>
        <v/>
      </c>
      <c r="S66" s="225">
        <f t="shared" si="7"/>
        <v>0</v>
      </c>
      <c r="T66" s="238" t="n">
        <v>19.0</v>
      </c>
      <c r="U66" s="239" t="s">
        <v>649</v>
      </c>
      <c r="V66" s="231"/>
      <c r="W66" s="221" t="s">
        <v>116</v>
      </c>
      <c r="X66" s="221" t="s">
        <v>116</v>
      </c>
      <c r="Y66" s="221"/>
      <c r="Z66" s="236"/>
      <c r="AA66" s="237" t="n">
        <v>4.0</v>
      </c>
      <c r="AB66" s="232" t="n">
        <v>2.0</v>
      </c>
      <c r="AC66" s="232"/>
      <c r="AD66" s="232"/>
      <c r="AE66" s="232"/>
      <c r="AF66" s="232"/>
      <c r="AG66" s="232"/>
      <c r="AH66" s="232"/>
      <c r="AI66" s="233"/>
      <c r="AJ66" s="234" t="str">
        <f t="shared" si="8"/>
        <v/>
      </c>
      <c r="AK66" s="224" t="str">
        <f>IF(AJ66="","",AJ66+AK65+'OS Offset'!I66)</f>
        <v/>
      </c>
      <c r="AL66" s="225">
        <f t="shared" si="9"/>
        <v>0</v>
      </c>
    </row>
    <row r="67" spans="1:38" ht="40.15" customHeight="1" x14ac:dyDescent="0.35">
      <c r="A67" s="228" t="n">
        <v>20.0</v>
      </c>
      <c r="B67" s="227" t="s">
        <v>626</v>
      </c>
      <c r="C67" s="228"/>
      <c r="D67" s="229" t="s">
        <v>116</v>
      </c>
      <c r="E67" s="229" t="s">
        <v>116</v>
      </c>
      <c r="F67" s="229"/>
      <c r="G67" s="230"/>
      <c r="H67" s="231" t="n">
        <v>4.0</v>
      </c>
      <c r="I67" s="221"/>
      <c r="J67" s="221"/>
      <c r="K67" s="221"/>
      <c r="L67" s="221"/>
      <c r="M67" s="221"/>
      <c r="N67" s="221"/>
      <c r="O67" s="221"/>
      <c r="P67" s="222"/>
      <c r="Q67" s="240" t="str">
        <f t="shared" si="6"/>
        <v/>
      </c>
      <c r="R67" s="224" t="str">
        <f>IF(Q67="","",Q67+R66+'OS Offset'!B67)</f>
        <v/>
      </c>
      <c r="S67" s="225">
        <f t="shared" si="7"/>
        <v>0</v>
      </c>
      <c r="T67" s="226" t="n">
        <v>20.0</v>
      </c>
      <c r="U67" s="227" t="s">
        <v>665</v>
      </c>
      <c r="V67" s="228"/>
      <c r="W67" s="229"/>
      <c r="X67" s="229"/>
      <c r="Y67" s="229"/>
      <c r="Z67" s="230"/>
      <c r="AA67" s="231" t="n">
        <v>0.0</v>
      </c>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t="n">
        <v>21.0</v>
      </c>
      <c r="B68" s="239" t="s">
        <v>624</v>
      </c>
      <c r="C68" s="231"/>
      <c r="D68" s="221"/>
      <c r="E68" s="221"/>
      <c r="F68" s="221"/>
      <c r="G68" s="236"/>
      <c r="H68" s="237" t="n">
        <v>0.0</v>
      </c>
      <c r="I68" s="232"/>
      <c r="J68" s="232"/>
      <c r="K68" s="232"/>
      <c r="L68" s="232"/>
      <c r="M68" s="232"/>
      <c r="N68" s="232"/>
      <c r="O68" s="232"/>
      <c r="P68" s="233"/>
      <c r="Q68" s="241" t="str">
        <f t="shared" si="6"/>
        <v/>
      </c>
      <c r="R68" s="224" t="str">
        <f>IF(Q68="","",Q68+R67+'OS Offset'!B68)</f>
        <v/>
      </c>
      <c r="S68" s="225">
        <f t="shared" si="7"/>
        <v>0</v>
      </c>
      <c r="T68" s="238" t="n">
        <v>21.0</v>
      </c>
      <c r="U68" s="239" t="s">
        <v>645</v>
      </c>
      <c r="V68" s="231"/>
      <c r="W68" s="221" t="s">
        <v>116</v>
      </c>
      <c r="X68" s="221" t="s">
        <v>116</v>
      </c>
      <c r="Y68" s="221"/>
      <c r="Z68" s="236"/>
      <c r="AA68" s="237" t="n">
        <v>4.0</v>
      </c>
      <c r="AB68" s="232" t="n">
        <v>4.0</v>
      </c>
      <c r="AC68" s="232" t="n">
        <v>4.0</v>
      </c>
      <c r="AD68" s="232" t="n">
        <v>0.0</v>
      </c>
      <c r="AE68" s="232"/>
      <c r="AF68" s="232"/>
      <c r="AG68" s="232"/>
      <c r="AH68" s="232"/>
      <c r="AI68" s="233"/>
      <c r="AJ68" s="234" t="str">
        <f t="shared" si="8"/>
        <v/>
      </c>
      <c r="AK68" s="224" t="str">
        <f>IF(AJ68="","",AJ68+AK67+'OS Offset'!I68)</f>
        <v/>
      </c>
      <c r="AL68" s="225">
        <f t="shared" si="9"/>
        <v>0</v>
      </c>
    </row>
    <row r="69" spans="1:38" ht="40.15" customHeight="1" x14ac:dyDescent="0.35">
      <c r="A69" s="228" t="n">
        <v>22.0</v>
      </c>
      <c r="B69" s="227" t="s">
        <v>628</v>
      </c>
      <c r="C69" s="228"/>
      <c r="D69" s="229"/>
      <c r="E69" s="229"/>
      <c r="F69" s="229"/>
      <c r="G69" s="230"/>
      <c r="H69" s="231" t="n">
        <v>0.0</v>
      </c>
      <c r="I69" s="221"/>
      <c r="J69" s="221"/>
      <c r="K69" s="221"/>
      <c r="L69" s="221"/>
      <c r="M69" s="221"/>
      <c r="N69" s="221"/>
      <c r="O69" s="221"/>
      <c r="P69" s="222"/>
      <c r="Q69" s="240" t="str">
        <f t="shared" si="6"/>
        <v/>
      </c>
      <c r="R69" s="224" t="str">
        <f>IF(Q69="","",Q69+R68+'OS Offset'!B69)</f>
        <v/>
      </c>
      <c r="S69" s="225">
        <f t="shared" si="7"/>
        <v>0</v>
      </c>
      <c r="T69" s="226" t="n">
        <v>22.0</v>
      </c>
      <c r="U69" s="227" t="s">
        <v>667</v>
      </c>
      <c r="V69" s="228"/>
      <c r="W69" s="229" t="s">
        <v>116</v>
      </c>
      <c r="X69" s="229" t="s">
        <v>116</v>
      </c>
      <c r="Y69" s="229"/>
      <c r="Z69" s="230"/>
      <c r="AA69" s="231" t="n">
        <v>3.0</v>
      </c>
      <c r="AB69" s="221" t="n">
        <v>0.0</v>
      </c>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c r="B70" s="239"/>
      <c r="C70" s="231"/>
      <c r="D70" s="221"/>
      <c r="E70" s="221"/>
      <c r="F70" s="221"/>
      <c r="G70" s="236"/>
      <c r="H70" s="237"/>
      <c r="I70" s="232"/>
      <c r="J70" s="232"/>
      <c r="K70" s="232"/>
      <c r="L70" s="232"/>
      <c r="M70" s="232"/>
      <c r="N70" s="232"/>
      <c r="O70" s="232"/>
      <c r="P70" s="233"/>
      <c r="Q70" s="241" t="str">
        <f t="shared" si="6"/>
        <v/>
      </c>
      <c r="R70" s="224" t="str">
        <f>IF(Q70="","",Q70+R69+'OS Offset'!B70)</f>
        <v/>
      </c>
      <c r="S70" s="225">
        <f t="shared" si="7"/>
        <v>0</v>
      </c>
      <c r="T70" s="238"/>
      <c r="U70" s="239"/>
      <c r="V70" s="231"/>
      <c r="W70" s="221"/>
      <c r="X70" s="221"/>
      <c r="Y70" s="221"/>
      <c r="Z70" s="236"/>
      <c r="AA70" s="237"/>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c r="B71" s="227"/>
      <c r="C71" s="228"/>
      <c r="D71" s="229"/>
      <c r="E71" s="229"/>
      <c r="F71" s="229"/>
      <c r="G71" s="230"/>
      <c r="H71" s="231"/>
      <c r="I71" s="221"/>
      <c r="J71" s="221"/>
      <c r="K71" s="221"/>
      <c r="L71" s="221"/>
      <c r="M71" s="221"/>
      <c r="N71" s="221"/>
      <c r="O71" s="221"/>
      <c r="P71" s="222"/>
      <c r="Q71" s="240" t="str">
        <f t="shared" si="6"/>
        <v/>
      </c>
      <c r="R71" s="224" t="str">
        <f>IF(Q71="","",Q71+R70+'OS Offset'!B71)</f>
        <v/>
      </c>
      <c r="S71" s="225">
        <f t="shared" si="7"/>
        <v>0</v>
      </c>
      <c r="T71" s="226"/>
      <c r="U71" s="227"/>
      <c r="V71" s="228"/>
      <c r="W71" s="229"/>
      <c r="X71" s="229"/>
      <c r="Y71" s="229"/>
      <c r="Z71" s="230"/>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c r="B72" s="239"/>
      <c r="C72" s="231"/>
      <c r="D72" s="221"/>
      <c r="E72" s="221"/>
      <c r="F72" s="221"/>
      <c r="G72" s="236"/>
      <c r="H72" s="237"/>
      <c r="I72" s="232"/>
      <c r="J72" s="232"/>
      <c r="K72" s="232"/>
      <c r="L72" s="232"/>
      <c r="M72" s="232"/>
      <c r="N72" s="232"/>
      <c r="O72" s="232"/>
      <c r="P72" s="233"/>
      <c r="Q72" s="241" t="str">
        <f t="shared" si="6"/>
        <v/>
      </c>
      <c r="R72" s="224" t="str">
        <f>IF(Q72="","",Q72+R71+'OS Offset'!B72)</f>
        <v/>
      </c>
      <c r="S72" s="225">
        <f t="shared" si="7"/>
        <v>0</v>
      </c>
      <c r="T72" s="238"/>
      <c r="U72" s="239"/>
      <c r="V72" s="231"/>
      <c r="W72" s="221"/>
      <c r="X72" s="221"/>
      <c r="Y72" s="221"/>
      <c r="Z72" s="236"/>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c r="B73" s="227"/>
      <c r="C73" s="228"/>
      <c r="D73" s="229"/>
      <c r="E73" s="229"/>
      <c r="F73" s="229"/>
      <c r="G73" s="230"/>
      <c r="H73" s="231"/>
      <c r="I73" s="221"/>
      <c r="J73" s="221"/>
      <c r="K73" s="221"/>
      <c r="L73" s="221"/>
      <c r="M73" s="221"/>
      <c r="N73" s="221"/>
      <c r="O73" s="221"/>
      <c r="P73" s="222"/>
      <c r="Q73" s="240" t="str">
        <f t="shared" si="6"/>
        <v/>
      </c>
      <c r="R73" s="224" t="str">
        <f>IF(Q73="","",Q73+R72+'OS Offset'!B73)</f>
        <v/>
      </c>
      <c r="S73" s="225">
        <f t="shared" si="7"/>
        <v>0</v>
      </c>
      <c r="T73" s="226"/>
      <c r="U73" s="227"/>
      <c r="V73" s="228"/>
      <c r="W73" s="229"/>
      <c r="X73" s="229"/>
      <c r="Y73" s="229"/>
      <c r="Z73" s="230"/>
      <c r="AA73" s="231"/>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c r="B74" s="239"/>
      <c r="C74" s="231"/>
      <c r="D74" s="221"/>
      <c r="E74" s="221"/>
      <c r="F74" s="221"/>
      <c r="G74" s="236"/>
      <c r="H74" s="237"/>
      <c r="I74" s="232"/>
      <c r="J74" s="232"/>
      <c r="K74" s="232"/>
      <c r="L74" s="232"/>
      <c r="M74" s="232"/>
      <c r="N74" s="232"/>
      <c r="O74" s="232"/>
      <c r="P74" s="233"/>
      <c r="Q74" s="241" t="str">
        <f t="shared" si="6"/>
        <v/>
      </c>
      <c r="R74" s="224" t="str">
        <f>IF(Q74="","",Q74+R73+'OS Offset'!B74)</f>
        <v/>
      </c>
      <c r="S74" s="225">
        <f t="shared" si="7"/>
        <v>0</v>
      </c>
      <c r="T74" s="238"/>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t="s">
        <v>126</v>
      </c>
      <c r="C4" s="191" t="s">
        <v>130</v>
      </c>
      <c r="D4" s="191" t="s">
        <v>126</v>
      </c>
      <c r="E4" s="191" t="s">
        <v>127</v>
      </c>
      <c r="F4" s="191" t="s">
        <v>126</v>
      </c>
      <c r="G4" s="369"/>
      <c r="H4" s="370"/>
      <c r="I4" s="371"/>
      <c r="J4" s="192"/>
      <c r="K4" s="741"/>
      <c r="L4" s="1137" t="str">
        <f>IF(COUNTA(B4:J4)=0,"",COUNTA(B4:J4))</f>
        <v/>
      </c>
      <c r="M4" s="1156">
        <v>1</v>
      </c>
      <c r="N4" s="1157"/>
      <c r="O4" s="1158"/>
      <c r="P4" s="1162" t="str">
        <f>IF(IGRF!I14="","",IGRF!I14)</f>
        <v/>
      </c>
      <c r="Q4" s="190"/>
      <c r="R4" s="191"/>
      <c r="S4" s="191"/>
      <c r="T4" s="191"/>
      <c r="U4" s="191"/>
      <c r="V4" s="369"/>
      <c r="W4" s="370"/>
      <c r="X4" s="371"/>
      <c r="Y4" s="192"/>
      <c r="Z4" s="741"/>
      <c r="AA4" s="1143" t="str">
        <f>IF(COUNTA(Q4:Y4)=0,"",COUNTA(Q4:Y4))</f>
        <v/>
      </c>
      <c r="AB4" s="615" t="s">
        <v>130</v>
      </c>
      <c r="AC4" s="1163" t="str">
        <f>IF(IGRF!B14="","",IGRF!B14)</f>
        <v/>
      </c>
      <c r="AD4" s="736"/>
      <c r="AE4" s="191"/>
      <c r="AF4" s="191"/>
      <c r="AG4" s="191"/>
      <c r="AH4" s="191"/>
      <c r="AI4" s="369"/>
      <c r="AJ4" s="370"/>
      <c r="AK4" s="371"/>
      <c r="AL4" s="192"/>
      <c r="AM4" s="741"/>
      <c r="AN4" s="1137" t="str">
        <f>IF(COUNTA(AD4:AL4)=0,"",COUNTA(AD4:AL4))</f>
        <v/>
      </c>
      <c r="AO4" s="1156">
        <v>1</v>
      </c>
      <c r="AP4" s="1157"/>
      <c r="AQ4" s="1158"/>
      <c r="AR4" s="1159" t="str">
        <f>IF(IGRF!I14="","",IGRF!I14)</f>
        <v/>
      </c>
      <c r="AS4" s="190"/>
      <c r="AT4" s="191"/>
      <c r="AU4" s="191"/>
      <c r="AV4" s="191"/>
      <c r="AW4" s="191"/>
      <c r="AX4" s="369"/>
      <c r="AY4" s="370"/>
      <c r="AZ4" s="371"/>
      <c r="BA4" s="192"/>
      <c r="BB4" s="741"/>
      <c r="BC4" s="1137" t="str">
        <f>IF(COUNTA(AS4:BA4)=0,"",COUNTA(AS4:BA4))</f>
        <v/>
      </c>
      <c r="BD4" s="615" t="s">
        <v>130</v>
      </c>
    </row>
    <row r="5" spans="1:56" ht="19.149999999999999" customHeight="1" thickBot="1" x14ac:dyDescent="0.25">
      <c r="A5" s="1142"/>
      <c r="B5" s="193" t="n">
        <v>4.0</v>
      </c>
      <c r="C5" s="194" t="n">
        <v>4.0</v>
      </c>
      <c r="D5" s="194" t="n">
        <v>10.0</v>
      </c>
      <c r="E5" s="194" t="n">
        <v>10.0</v>
      </c>
      <c r="F5" s="194" t="n">
        <v>13.0</v>
      </c>
      <c r="G5" s="372"/>
      <c r="H5" s="373"/>
      <c r="I5" s="374"/>
      <c r="J5" s="195"/>
      <c r="K5" s="742"/>
      <c r="L5" s="1138"/>
      <c r="M5" s="1140">
        <v>2</v>
      </c>
      <c r="N5" s="1129"/>
      <c r="O5" s="1130"/>
      <c r="P5" s="1142"/>
      <c r="Q5" s="193"/>
      <c r="R5" s="194"/>
      <c r="S5" s="194"/>
      <c r="T5" s="194"/>
      <c r="U5" s="194"/>
      <c r="V5" s="372"/>
      <c r="W5" s="373"/>
      <c r="X5" s="374"/>
      <c r="Y5" s="195"/>
      <c r="Z5" s="742"/>
      <c r="AA5" s="1144"/>
      <c r="AB5" s="720" t="s">
        <v>131</v>
      </c>
      <c r="AC5" s="1164"/>
      <c r="AD5" s="737"/>
      <c r="AE5" s="194"/>
      <c r="AF5" s="194"/>
      <c r="AG5" s="194"/>
      <c r="AH5" s="194"/>
      <c r="AI5" s="372"/>
      <c r="AJ5" s="373"/>
      <c r="AK5" s="374"/>
      <c r="AL5" s="195"/>
      <c r="AM5" s="742"/>
      <c r="AN5" s="1138"/>
      <c r="AO5" s="1140">
        <v>2</v>
      </c>
      <c r="AP5" s="1129"/>
      <c r="AQ5" s="1130"/>
      <c r="AR5" s="1139"/>
      <c r="AS5" s="193"/>
      <c r="AT5" s="194"/>
      <c r="AU5" s="194"/>
      <c r="AV5" s="194"/>
      <c r="AW5" s="194"/>
      <c r="AX5" s="372"/>
      <c r="AY5" s="373"/>
      <c r="AZ5" s="374"/>
      <c r="BA5" s="195"/>
      <c r="BB5" s="742"/>
      <c r="BC5" s="1138"/>
      <c r="BD5" s="622" t="s">
        <v>131</v>
      </c>
    </row>
    <row r="6" spans="1:56" ht="19.149999999999999" customHeight="1" x14ac:dyDescent="0.2">
      <c r="A6" s="1131" t="str">
        <f>IF(IGRF!B15="","",IGRF!B15)</f>
        <v/>
      </c>
      <c r="B6" s="196" t="s">
        <v>127</v>
      </c>
      <c r="C6" s="197" t="s">
        <v>117</v>
      </c>
      <c r="D6" s="197" t="s">
        <v>127</v>
      </c>
      <c r="E6" s="197"/>
      <c r="F6" s="197"/>
      <c r="G6" s="198"/>
      <c r="H6" s="375"/>
      <c r="I6" s="376"/>
      <c r="J6" s="199"/>
      <c r="K6" s="741"/>
      <c r="L6" s="1123" t="str">
        <f>IF(COUNTA(B6:J6)=0,"",COUNTA(B6:J6))</f>
        <v/>
      </c>
      <c r="M6" s="1125">
        <v>3</v>
      </c>
      <c r="N6" s="1115"/>
      <c r="O6" s="1116">
        <v>3</v>
      </c>
      <c r="P6" s="1131" t="str">
        <f>IF(IGRF!I15="","",IGRF!I15)</f>
        <v/>
      </c>
      <c r="Q6" s="196"/>
      <c r="R6" s="197"/>
      <c r="S6" s="197"/>
      <c r="T6" s="197"/>
      <c r="U6" s="197"/>
      <c r="V6" s="198"/>
      <c r="W6" s="375"/>
      <c r="X6" s="376"/>
      <c r="Y6" s="199"/>
      <c r="Z6" s="741"/>
      <c r="AA6" s="1133" t="str">
        <f>IF(COUNTA(Q6:Y6)=0,"",COUNTA(Q6:Y6))</f>
        <v/>
      </c>
      <c r="AB6" s="720" t="s">
        <v>102</v>
      </c>
      <c r="AC6" s="1135" t="str">
        <f>IF(IGRF!B15="","",IGRF!B15)</f>
        <v/>
      </c>
      <c r="AD6" s="738"/>
      <c r="AE6" s="197"/>
      <c r="AF6" s="197"/>
      <c r="AG6" s="197" t="s">
        <v>444</v>
      </c>
      <c r="AH6" s="197"/>
      <c r="AI6" s="198"/>
      <c r="AJ6" s="375"/>
      <c r="AK6" s="376"/>
      <c r="AL6" s="199"/>
      <c r="AM6" s="741"/>
      <c r="AN6" s="1123" t="str">
        <f>IF(COUNTA(AD6:AL6)=0,"",COUNTA(AD6:AL6))</f>
        <v/>
      </c>
      <c r="AO6" s="1125">
        <v>3</v>
      </c>
      <c r="AP6" s="1115"/>
      <c r="AQ6" s="1116"/>
      <c r="AR6" s="1126" t="str">
        <f>IF(IGRF!I15="","",IGRF!I15)</f>
        <v/>
      </c>
      <c r="AS6" s="196"/>
      <c r="AT6" s="197"/>
      <c r="AU6" s="197"/>
      <c r="AV6" s="197"/>
      <c r="AW6" s="197"/>
      <c r="AX6" s="198"/>
      <c r="AY6" s="375"/>
      <c r="AZ6" s="376"/>
      <c r="BA6" s="199"/>
      <c r="BB6" s="741"/>
      <c r="BC6" s="1123" t="str">
        <f>IF(COUNTA(AS6:BA6)=0,"",COUNTA(AS6:BA6))</f>
        <v/>
      </c>
      <c r="BD6" s="622" t="s">
        <v>102</v>
      </c>
    </row>
    <row r="7" spans="1:56" ht="19.149999999999999" customHeight="1" thickBot="1" x14ac:dyDescent="0.25">
      <c r="A7" s="1148"/>
      <c r="B7" s="219" t="n">
        <v>2.0</v>
      </c>
      <c r="C7" s="200" t="n">
        <v>15.0</v>
      </c>
      <c r="D7" s="200" t="n">
        <v>20.0</v>
      </c>
      <c r="E7" s="200"/>
      <c r="F7" s="200"/>
      <c r="G7" s="201"/>
      <c r="H7" s="377"/>
      <c r="I7" s="378"/>
      <c r="J7" s="220"/>
      <c r="K7" s="742"/>
      <c r="L7" s="1146"/>
      <c r="M7" s="1140">
        <v>4</v>
      </c>
      <c r="N7" s="1129"/>
      <c r="O7" s="1130">
        <v>4</v>
      </c>
      <c r="P7" s="1148"/>
      <c r="Q7" s="219"/>
      <c r="R7" s="200"/>
      <c r="S7" s="200"/>
      <c r="T7" s="200"/>
      <c r="U7" s="200"/>
      <c r="V7" s="201"/>
      <c r="W7" s="377"/>
      <c r="X7" s="378"/>
      <c r="Y7" s="220"/>
      <c r="Z7" s="742"/>
      <c r="AA7" s="1146"/>
      <c r="AB7" s="614" t="s">
        <v>58</v>
      </c>
      <c r="AC7" s="1150"/>
      <c r="AD7" s="739"/>
      <c r="AE7" s="200"/>
      <c r="AF7" s="200"/>
      <c r="AG7" s="200" t="n">
        <v>17.0</v>
      </c>
      <c r="AH7" s="200"/>
      <c r="AI7" s="201"/>
      <c r="AJ7" s="377"/>
      <c r="AK7" s="378"/>
      <c r="AL7" s="220"/>
      <c r="AM7" s="742"/>
      <c r="AN7" s="1146"/>
      <c r="AO7" s="1140">
        <v>4</v>
      </c>
      <c r="AP7" s="1129"/>
      <c r="AQ7" s="1130"/>
      <c r="AR7" s="1147"/>
      <c r="AS7" s="219"/>
      <c r="AT7" s="200"/>
      <c r="AU7" s="200"/>
      <c r="AV7" s="200"/>
      <c r="AW7" s="200"/>
      <c r="AX7" s="201"/>
      <c r="AY7" s="377"/>
      <c r="AZ7" s="378"/>
      <c r="BA7" s="220"/>
      <c r="BB7" s="742"/>
      <c r="BC7" s="1146"/>
      <c r="BD7" s="614" t="s">
        <v>58</v>
      </c>
    </row>
    <row r="8" spans="1:56" ht="19.149999999999999" customHeight="1" thickBot="1" x14ac:dyDescent="0.25">
      <c r="A8" s="1141" t="str">
        <f>IF(IGRF!B16="","",IGRF!B16)</f>
        <v/>
      </c>
      <c r="B8" s="190" t="s">
        <v>127</v>
      </c>
      <c r="C8" s="191"/>
      <c r="D8" s="191"/>
      <c r="E8" s="191"/>
      <c r="F8" s="191"/>
      <c r="G8" s="369"/>
      <c r="H8" s="370"/>
      <c r="I8" s="371"/>
      <c r="J8" s="192"/>
      <c r="K8" s="741"/>
      <c r="L8" s="1137" t="str">
        <f>IF(COUNTA(B8:J8)=0,"",COUNTA(B8:J8))</f>
        <v/>
      </c>
      <c r="M8" s="1125">
        <v>5</v>
      </c>
      <c r="N8" s="1115"/>
      <c r="O8" s="1116">
        <v>5</v>
      </c>
      <c r="P8" s="1141" t="str">
        <f>IF(IGRF!I16="","",IGRF!I16)</f>
        <v/>
      </c>
      <c r="Q8" s="190" t="s">
        <v>117</v>
      </c>
      <c r="R8" s="191" t="s">
        <v>127</v>
      </c>
      <c r="S8" s="191" t="s">
        <v>444</v>
      </c>
      <c r="T8" s="191"/>
      <c r="U8" s="191"/>
      <c r="V8" s="369"/>
      <c r="W8" s="370"/>
      <c r="X8" s="371"/>
      <c r="Y8" s="192"/>
      <c r="Z8" s="741"/>
      <c r="AA8" s="1137" t="str">
        <f>IF(COUNTA(Q8:Y8)=0,"",COUNTA(Q8:Y8))</f>
        <v/>
      </c>
      <c r="AB8" s="721" t="s">
        <v>121</v>
      </c>
      <c r="AC8" s="1145" t="str">
        <f>IF(IGRF!B16="","",IGRF!B16)</f>
        <v/>
      </c>
      <c r="AD8" s="736"/>
      <c r="AE8" s="191" t="s">
        <v>126</v>
      </c>
      <c r="AF8" s="191" t="s">
        <v>117</v>
      </c>
      <c r="AG8" s="191"/>
      <c r="AH8" s="191"/>
      <c r="AI8" s="369"/>
      <c r="AJ8" s="370"/>
      <c r="AK8" s="371"/>
      <c r="AL8" s="192"/>
      <c r="AM8" s="741"/>
      <c r="AN8" s="1137" t="str">
        <f>IF(COUNTA(AD8:AL8)=0,"",COUNTA(AD8:AL8))</f>
        <v/>
      </c>
      <c r="AO8" s="1125">
        <v>5</v>
      </c>
      <c r="AP8" s="1115"/>
      <c r="AQ8" s="1116"/>
      <c r="AR8" s="1139" t="str">
        <f>IF(IGRF!I16="","",IGRF!I16)</f>
        <v/>
      </c>
      <c r="AS8" s="190"/>
      <c r="AT8" s="191"/>
      <c r="AU8" s="191"/>
      <c r="AV8" s="191" t="s">
        <v>121</v>
      </c>
      <c r="AW8" s="191" t="s">
        <v>127</v>
      </c>
      <c r="AX8" s="369" t="s">
        <v>444</v>
      </c>
      <c r="AY8" s="370" t="s">
        <v>123</v>
      </c>
      <c r="AZ8" s="371" t="s">
        <v>127</v>
      </c>
      <c r="BA8" s="192"/>
      <c r="BB8" s="741" t="s">
        <v>282</v>
      </c>
      <c r="BC8" s="1137" t="str">
        <f>IF(COUNTA(AS8:BA8)=0,"",COUNTA(AS8:BA8))</f>
        <v/>
      </c>
      <c r="BD8" s="625" t="s">
        <v>121</v>
      </c>
    </row>
    <row r="9" spans="1:56" ht="19.149999999999999" customHeight="1" thickBot="1" x14ac:dyDescent="0.25">
      <c r="A9" s="1142"/>
      <c r="B9" s="193" t="n">
        <v>5.0</v>
      </c>
      <c r="C9" s="194"/>
      <c r="D9" s="194"/>
      <c r="E9" s="194"/>
      <c r="F9" s="194"/>
      <c r="G9" s="372"/>
      <c r="H9" s="373"/>
      <c r="I9" s="374"/>
      <c r="J9" s="195"/>
      <c r="K9" s="742"/>
      <c r="L9" s="1138"/>
      <c r="M9" s="1140">
        <v>6</v>
      </c>
      <c r="N9" s="1129"/>
      <c r="O9" s="1130">
        <v>6</v>
      </c>
      <c r="P9" s="1142"/>
      <c r="Q9" s="193" t="n">
        <v>3.0</v>
      </c>
      <c r="R9" s="194" t="n">
        <v>15.0</v>
      </c>
      <c r="S9" s="194" t="n">
        <v>19.0</v>
      </c>
      <c r="T9" s="194"/>
      <c r="U9" s="194"/>
      <c r="V9" s="372"/>
      <c r="W9" s="373"/>
      <c r="X9" s="374"/>
      <c r="Y9" s="195"/>
      <c r="Z9" s="742"/>
      <c r="AA9" s="1138"/>
      <c r="AB9" s="722" t="s">
        <v>122</v>
      </c>
      <c r="AC9" s="1145"/>
      <c r="AD9" s="737"/>
      <c r="AE9" s="194" t="n">
        <v>3.0</v>
      </c>
      <c r="AF9" s="194" t="n">
        <v>4.0</v>
      </c>
      <c r="AG9" s="194"/>
      <c r="AH9" s="194"/>
      <c r="AI9" s="372"/>
      <c r="AJ9" s="373"/>
      <c r="AK9" s="374"/>
      <c r="AL9" s="195"/>
      <c r="AM9" s="742"/>
      <c r="AN9" s="1138"/>
      <c r="AO9" s="1140">
        <v>6</v>
      </c>
      <c r="AP9" s="1129"/>
      <c r="AQ9" s="1130"/>
      <c r="AR9" s="1139"/>
      <c r="AS9" s="193"/>
      <c r="AT9" s="194"/>
      <c r="AU9" s="194"/>
      <c r="AV9" s="194" t="n">
        <v>4.0</v>
      </c>
      <c r="AW9" s="194" t="n">
        <v>14.0</v>
      </c>
      <c r="AX9" s="372" t="n">
        <v>16.0</v>
      </c>
      <c r="AY9" s="373" t="n">
        <v>18.0</v>
      </c>
      <c r="AZ9" s="374" t="n">
        <v>18.0</v>
      </c>
      <c r="BA9" s="195"/>
      <c r="BB9" s="742" t="n">
        <v>18.0</v>
      </c>
      <c r="BC9" s="1138"/>
      <c r="BD9" s="626" t="s">
        <v>122</v>
      </c>
    </row>
    <row r="10" spans="1:56" ht="19.149999999999999" customHeight="1" x14ac:dyDescent="0.2">
      <c r="A10" s="1131" t="str">
        <f>IF(IGRF!B17="","",IGRF!B17)</f>
        <v/>
      </c>
      <c r="B10" s="196"/>
      <c r="C10" s="197"/>
      <c r="D10" s="197"/>
      <c r="E10" s="197"/>
      <c r="F10" s="197"/>
      <c r="G10" s="198"/>
      <c r="H10" s="375"/>
      <c r="I10" s="376"/>
      <c r="J10" s="199"/>
      <c r="K10" s="741"/>
      <c r="L10" s="1123" t="str">
        <f>IF(COUNTA(B10:J10)=0,"",COUNTA(B10:J10))</f>
        <v/>
      </c>
      <c r="M10" s="1125">
        <v>7</v>
      </c>
      <c r="N10" s="1115"/>
      <c r="O10" s="1116">
        <v>7</v>
      </c>
      <c r="P10" s="1131" t="str">
        <f>IF(IGRF!I17="","",IGRF!I17)</f>
        <v/>
      </c>
      <c r="Q10" s="196"/>
      <c r="R10" s="197"/>
      <c r="S10" s="197"/>
      <c r="T10" s="197"/>
      <c r="U10" s="197"/>
      <c r="V10" s="198"/>
      <c r="W10" s="375"/>
      <c r="X10" s="376"/>
      <c r="Y10" s="199"/>
      <c r="Z10" s="741"/>
      <c r="AA10" s="1123" t="str">
        <f>IF(COUNTA(Q10:Y10)=0,"",COUNTA(Q10:Y10))</f>
        <v/>
      </c>
      <c r="AB10" s="723" t="s">
        <v>113</v>
      </c>
      <c r="AC10" s="1135" t="str">
        <f>IF(IGRF!B17="","",IGRF!B17)</f>
        <v/>
      </c>
      <c r="AD10" s="738"/>
      <c r="AE10" s="197"/>
      <c r="AF10" s="197"/>
      <c r="AG10" s="197"/>
      <c r="AH10" s="197"/>
      <c r="AI10" s="198"/>
      <c r="AJ10" s="375"/>
      <c r="AK10" s="376"/>
      <c r="AL10" s="199"/>
      <c r="AM10" s="741"/>
      <c r="AN10" s="1123" t="str">
        <f>IF(COUNTA(AD10:AL10)=0,"",COUNTA(AD10:AL10))</f>
        <v/>
      </c>
      <c r="AO10" s="1125">
        <v>7</v>
      </c>
      <c r="AP10" s="1115"/>
      <c r="AQ10" s="1116"/>
      <c r="AR10" s="1126" t="str">
        <f>IF(IGRF!I17="","",IGRF!I17)</f>
        <v/>
      </c>
      <c r="AS10" s="196"/>
      <c r="AT10" s="197"/>
      <c r="AU10" s="197"/>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c r="C11" s="200"/>
      <c r="D11" s="200"/>
      <c r="E11" s="200"/>
      <c r="F11" s="200"/>
      <c r="G11" s="201"/>
      <c r="H11" s="377"/>
      <c r="I11" s="378"/>
      <c r="J11" s="220"/>
      <c r="K11" s="742"/>
      <c r="L11" s="1146"/>
      <c r="M11" s="1140">
        <v>8</v>
      </c>
      <c r="N11" s="1129"/>
      <c r="O11" s="1130">
        <v>8</v>
      </c>
      <c r="P11" s="1148"/>
      <c r="Q11" s="219"/>
      <c r="R11" s="200"/>
      <c r="S11" s="200"/>
      <c r="T11" s="200"/>
      <c r="U11" s="200"/>
      <c r="V11" s="201"/>
      <c r="W11" s="377"/>
      <c r="X11" s="378"/>
      <c r="Y11" s="220"/>
      <c r="Z11" s="742"/>
      <c r="AA11" s="1146"/>
      <c r="AB11" s="722" t="s">
        <v>114</v>
      </c>
      <c r="AC11" s="1150"/>
      <c r="AD11" s="739"/>
      <c r="AE11" s="200"/>
      <c r="AF11" s="200"/>
      <c r="AG11" s="200"/>
      <c r="AH11" s="200"/>
      <c r="AI11" s="201"/>
      <c r="AJ11" s="377"/>
      <c r="AK11" s="378"/>
      <c r="AL11" s="220"/>
      <c r="AM11" s="742"/>
      <c r="AN11" s="1146"/>
      <c r="AO11" s="1140">
        <v>8</v>
      </c>
      <c r="AP11" s="1129"/>
      <c r="AQ11" s="1130"/>
      <c r="AR11" s="1147"/>
      <c r="AS11" s="219"/>
      <c r="AT11" s="200"/>
      <c r="AU11" s="200"/>
      <c r="AV11" s="200"/>
      <c r="AW11" s="200"/>
      <c r="AX11" s="201"/>
      <c r="AY11" s="377"/>
      <c r="AZ11" s="378"/>
      <c r="BA11" s="220"/>
      <c r="BB11" s="742"/>
      <c r="BC11" s="1146"/>
      <c r="BD11" s="626" t="s">
        <v>114</v>
      </c>
    </row>
    <row r="12" spans="1:56" ht="19.149999999999999" customHeight="1" thickBot="1" x14ac:dyDescent="0.25">
      <c r="A12" s="1141" t="str">
        <f>IF(IGRF!B18="","",IGRF!B18)</f>
        <v/>
      </c>
      <c r="B12" s="190"/>
      <c r="C12" s="191"/>
      <c r="D12" s="191"/>
      <c r="E12" s="191"/>
      <c r="F12" s="191"/>
      <c r="G12" s="369"/>
      <c r="H12" s="370"/>
      <c r="I12" s="371"/>
      <c r="J12" s="192"/>
      <c r="K12" s="741"/>
      <c r="L12" s="1137" t="str">
        <f>IF(COUNTA(B12:J12)=0,"",COUNTA(B12:J12))</f>
        <v/>
      </c>
      <c r="M12" s="1125">
        <v>9</v>
      </c>
      <c r="N12" s="1115"/>
      <c r="O12" s="1116">
        <v>9</v>
      </c>
      <c r="P12" s="1141" t="str">
        <f>IF(IGRF!I18="","",IGRF!I18)</f>
        <v/>
      </c>
      <c r="Q12" s="190" t="s">
        <v>444</v>
      </c>
      <c r="R12" s="191" t="s">
        <v>127</v>
      </c>
      <c r="S12" s="191" t="s">
        <v>124</v>
      </c>
      <c r="T12" s="191" t="s">
        <v>127</v>
      </c>
      <c r="U12" s="191" t="s">
        <v>642</v>
      </c>
      <c r="V12" s="369"/>
      <c r="W12" s="370"/>
      <c r="X12" s="371"/>
      <c r="Y12" s="192"/>
      <c r="Z12" s="741"/>
      <c r="AA12" s="1137" t="str">
        <f>IF(COUNTA(Q12:Y12)=0,"",COUNTA(Q12:Y12))</f>
        <v/>
      </c>
      <c r="AB12" s="723" t="s">
        <v>124</v>
      </c>
      <c r="AC12" s="1145" t="str">
        <f>IF(IGRF!B18="","",IGRF!B18)</f>
        <v/>
      </c>
      <c r="AD12" s="736"/>
      <c r="AE12" s="191"/>
      <c r="AF12" s="191"/>
      <c r="AG12" s="191"/>
      <c r="AH12" s="191"/>
      <c r="AI12" s="369"/>
      <c r="AJ12" s="370"/>
      <c r="AK12" s="371"/>
      <c r="AL12" s="192"/>
      <c r="AM12" s="741"/>
      <c r="AN12" s="1137" t="str">
        <f>IF(COUNTA(AD12:AL12)=0,"",COUNTA(AD12:AL12))</f>
        <v/>
      </c>
      <c r="AO12" s="1125">
        <v>9</v>
      </c>
      <c r="AP12" s="1115"/>
      <c r="AQ12" s="1116"/>
      <c r="AR12" s="1139" t="str">
        <f>IF(IGRF!I18="","",IGRF!I18)</f>
        <v/>
      </c>
      <c r="AS12" s="190"/>
      <c r="AT12" s="191"/>
      <c r="AU12" s="191"/>
      <c r="AV12" s="191"/>
      <c r="AW12" s="191"/>
      <c r="AX12" s="369"/>
      <c r="AY12" s="370"/>
      <c r="AZ12" s="371"/>
      <c r="BA12" s="192"/>
      <c r="BB12" s="741"/>
      <c r="BC12" s="1137" t="str">
        <f>IF(COUNTA(AS12:BA12)=0,"",COUNTA(AS12:BA12))</f>
        <v/>
      </c>
      <c r="BD12" s="627" t="s">
        <v>124</v>
      </c>
    </row>
    <row r="13" spans="1:56" ht="19.149999999999999" customHeight="1" thickBot="1" x14ac:dyDescent="0.25">
      <c r="A13" s="1142"/>
      <c r="B13" s="193"/>
      <c r="C13" s="194"/>
      <c r="D13" s="194"/>
      <c r="E13" s="194"/>
      <c r="F13" s="194"/>
      <c r="G13" s="372"/>
      <c r="H13" s="373"/>
      <c r="I13" s="374"/>
      <c r="J13" s="195"/>
      <c r="K13" s="742"/>
      <c r="L13" s="1138"/>
      <c r="M13" s="1140">
        <v>10</v>
      </c>
      <c r="N13" s="1129"/>
      <c r="O13" s="1130">
        <v>10</v>
      </c>
      <c r="P13" s="1142"/>
      <c r="Q13" s="193" t="n">
        <v>2.0</v>
      </c>
      <c r="R13" s="194" t="n">
        <v>8.0</v>
      </c>
      <c r="S13" s="194" t="n">
        <v>9.0</v>
      </c>
      <c r="T13" s="194" t="n">
        <v>22.0</v>
      </c>
      <c r="U13" s="194" t="n">
        <v>22.0</v>
      </c>
      <c r="V13" s="372"/>
      <c r="W13" s="373"/>
      <c r="X13" s="374"/>
      <c r="Y13" s="195"/>
      <c r="Z13" s="742"/>
      <c r="AA13" s="1138"/>
      <c r="AB13" s="722" t="s">
        <v>125</v>
      </c>
      <c r="AC13" s="1145"/>
      <c r="AD13" s="737"/>
      <c r="AE13" s="194"/>
      <c r="AF13" s="194"/>
      <c r="AG13" s="194"/>
      <c r="AH13" s="194"/>
      <c r="AI13" s="372"/>
      <c r="AJ13" s="373"/>
      <c r="AK13" s="374"/>
      <c r="AL13" s="195"/>
      <c r="AM13" s="742"/>
      <c r="AN13" s="1138"/>
      <c r="AO13" s="1140">
        <v>10</v>
      </c>
      <c r="AP13" s="1129"/>
      <c r="AQ13" s="1130"/>
      <c r="AR13" s="1139"/>
      <c r="AS13" s="193"/>
      <c r="AT13" s="194"/>
      <c r="AU13" s="194"/>
      <c r="AV13" s="194"/>
      <c r="AW13" s="194"/>
      <c r="AX13" s="372"/>
      <c r="AY13" s="373"/>
      <c r="AZ13" s="374"/>
      <c r="BA13" s="195"/>
      <c r="BB13" s="742"/>
      <c r="BC13" s="1138"/>
      <c r="BD13" s="626" t="s">
        <v>125</v>
      </c>
    </row>
    <row r="14" spans="1:56" ht="19.149999999999999" customHeight="1" x14ac:dyDescent="0.2">
      <c r="A14" s="1131" t="str">
        <f>IF(IGRF!B19="","",IGRF!B19)</f>
        <v/>
      </c>
      <c r="B14" s="196"/>
      <c r="C14" s="197"/>
      <c r="D14" s="197"/>
      <c r="E14" s="197"/>
      <c r="F14" s="197"/>
      <c r="G14" s="198"/>
      <c r="H14" s="375"/>
      <c r="I14" s="376"/>
      <c r="J14" s="199"/>
      <c r="K14" s="741"/>
      <c r="L14" s="1123" t="str">
        <f>IF(COUNTA(B14:J14)=0,"",COUNTA(B14:J14))</f>
        <v/>
      </c>
      <c r="M14" s="1125">
        <v>11</v>
      </c>
      <c r="N14" s="1115"/>
      <c r="O14" s="1116">
        <v>11</v>
      </c>
      <c r="P14" s="1131" t="str">
        <f>IF(IGRF!I19="","",IGRF!I19)</f>
        <v/>
      </c>
      <c r="Q14" s="196" t="s">
        <v>444</v>
      </c>
      <c r="R14" s="197" t="s">
        <v>126</v>
      </c>
      <c r="S14" s="197"/>
      <c r="T14" s="197"/>
      <c r="U14" s="197"/>
      <c r="V14" s="198"/>
      <c r="W14" s="375"/>
      <c r="X14" s="376"/>
      <c r="Y14" s="199"/>
      <c r="Z14" s="741"/>
      <c r="AA14" s="1123" t="str">
        <f>IF(COUNTA(Q14:Y14)=0,"",COUNTA(Q14:Y14))</f>
        <v/>
      </c>
      <c r="AB14" s="724" t="s">
        <v>118</v>
      </c>
      <c r="AC14" s="1135" t="str">
        <f>IF(IGRF!B19="","",IGRF!B19)</f>
        <v/>
      </c>
      <c r="AD14" s="738" t="s">
        <v>119</v>
      </c>
      <c r="AE14" s="197"/>
      <c r="AF14" s="197"/>
      <c r="AG14" s="197"/>
      <c r="AH14" s="197"/>
      <c r="AI14" s="198"/>
      <c r="AJ14" s="375"/>
      <c r="AK14" s="376"/>
      <c r="AL14" s="199"/>
      <c r="AM14" s="741"/>
      <c r="AN14" s="1123" t="str">
        <f>IF(COUNTA(AD14:AL14)=0,"",COUNTA(AD14:AL14))</f>
        <v/>
      </c>
      <c r="AO14" s="1125">
        <v>11</v>
      </c>
      <c r="AP14" s="1115"/>
      <c r="AQ14" s="1116"/>
      <c r="AR14" s="1126" t="str">
        <f>IF(IGRF!I19="","",IGRF!I19)</f>
        <v/>
      </c>
      <c r="AS14" s="196"/>
      <c r="AT14" s="197"/>
      <c r="AU14" s="197" t="s">
        <v>127</v>
      </c>
      <c r="AV14" s="197" t="s">
        <v>117</v>
      </c>
      <c r="AW14" s="197"/>
      <c r="AX14" s="198"/>
      <c r="AY14" s="375"/>
      <c r="AZ14" s="376"/>
      <c r="BA14" s="199"/>
      <c r="BB14" s="741"/>
      <c r="BC14" s="1123" t="str">
        <f>IF(COUNTA(AS14:BA14)=0,"",COUNTA(AS14:BA14))</f>
        <v/>
      </c>
      <c r="BD14" s="616" t="s">
        <v>118</v>
      </c>
    </row>
    <row r="15" spans="1:56" ht="19.149999999999999" customHeight="1" thickBot="1" x14ac:dyDescent="0.25">
      <c r="A15" s="1148"/>
      <c r="B15" s="219"/>
      <c r="C15" s="200"/>
      <c r="D15" s="200"/>
      <c r="E15" s="200"/>
      <c r="F15" s="200"/>
      <c r="G15" s="201"/>
      <c r="H15" s="377"/>
      <c r="I15" s="378"/>
      <c r="J15" s="220"/>
      <c r="K15" s="742"/>
      <c r="L15" s="1146"/>
      <c r="M15" s="1140">
        <v>12</v>
      </c>
      <c r="N15" s="1129"/>
      <c r="O15" s="1130">
        <v>12</v>
      </c>
      <c r="P15" s="1148"/>
      <c r="Q15" s="219" t="n">
        <v>18.0</v>
      </c>
      <c r="R15" s="200" t="n">
        <v>22.0</v>
      </c>
      <c r="S15" s="200"/>
      <c r="T15" s="200"/>
      <c r="U15" s="200"/>
      <c r="V15" s="201"/>
      <c r="W15" s="377"/>
      <c r="X15" s="378"/>
      <c r="Y15" s="220"/>
      <c r="Z15" s="742"/>
      <c r="AA15" s="1146"/>
      <c r="AB15" s="725" t="s">
        <v>425</v>
      </c>
      <c r="AC15" s="1150"/>
      <c r="AD15" s="739" t="n">
        <v>18.0</v>
      </c>
      <c r="AE15" s="200"/>
      <c r="AF15" s="200"/>
      <c r="AG15" s="200"/>
      <c r="AH15" s="200"/>
      <c r="AI15" s="201"/>
      <c r="AJ15" s="377"/>
      <c r="AK15" s="378"/>
      <c r="AL15" s="220"/>
      <c r="AM15" s="742"/>
      <c r="AN15" s="1146"/>
      <c r="AO15" s="1140">
        <v>12</v>
      </c>
      <c r="AP15" s="1129"/>
      <c r="AQ15" s="1130"/>
      <c r="AR15" s="1147"/>
      <c r="AS15" s="219"/>
      <c r="AT15" s="200"/>
      <c r="AU15" s="200" t="n">
        <v>11.0</v>
      </c>
      <c r="AV15" s="200" t="n">
        <v>12.0</v>
      </c>
      <c r="AW15" s="200"/>
      <c r="AX15" s="201"/>
      <c r="AY15" s="377"/>
      <c r="AZ15" s="378"/>
      <c r="BA15" s="220"/>
      <c r="BB15" s="742"/>
      <c r="BC15" s="1146"/>
      <c r="BD15" s="621" t="s">
        <v>425</v>
      </c>
    </row>
    <row r="16" spans="1:56" ht="19.149999999999999" customHeight="1" thickBot="1" x14ac:dyDescent="0.25">
      <c r="A16" s="1141" t="str">
        <f>IF(IGRF!B20="","",IGRF!B20)</f>
        <v/>
      </c>
      <c r="B16" s="190"/>
      <c r="C16" s="191"/>
      <c r="D16" s="191"/>
      <c r="E16" s="191"/>
      <c r="F16" s="191"/>
      <c r="G16" s="369"/>
      <c r="H16" s="370"/>
      <c r="I16" s="371"/>
      <c r="J16" s="192"/>
      <c r="K16" s="741"/>
      <c r="L16" s="1137" t="str">
        <f>IF(COUNTA(B16:J16)=0,"",COUNTA(B16:J16))</f>
        <v/>
      </c>
      <c r="M16" s="1125">
        <v>13</v>
      </c>
      <c r="N16" s="1115"/>
      <c r="O16" s="1116">
        <v>13</v>
      </c>
      <c r="P16" s="1141" t="str">
        <f>IF(IGRF!I20="","",IGRF!I20)</f>
        <v/>
      </c>
      <c r="Q16" s="190"/>
      <c r="R16" s="191"/>
      <c r="S16" s="191"/>
      <c r="T16" s="191"/>
      <c r="U16" s="191"/>
      <c r="V16" s="369"/>
      <c r="W16" s="370"/>
      <c r="X16" s="371"/>
      <c r="Y16" s="192"/>
      <c r="Z16" s="741"/>
      <c r="AA16" s="1137" t="str">
        <f>IF(COUNTA(Q16:Y16)=0,"",COUNTA(Q16:Y16))</f>
        <v/>
      </c>
      <c r="AB16" s="724" t="s">
        <v>119</v>
      </c>
      <c r="AC16" s="1145" t="str">
        <f>IF(IGRF!B20="","",IGRF!B20)</f>
        <v/>
      </c>
      <c r="AD16" s="736"/>
      <c r="AE16" s="191"/>
      <c r="AF16" s="191"/>
      <c r="AG16" s="191"/>
      <c r="AH16" s="191"/>
      <c r="AI16" s="369"/>
      <c r="AJ16" s="370"/>
      <c r="AK16" s="371"/>
      <c r="AL16" s="192"/>
      <c r="AM16" s="741"/>
      <c r="AN16" s="1137" t="str">
        <f>IF(COUNTA(AD16:AL16)=0,"",COUNTA(AD16:AL16))</f>
        <v/>
      </c>
      <c r="AO16" s="1125">
        <v>13</v>
      </c>
      <c r="AP16" s="1115"/>
      <c r="AQ16" s="1116"/>
      <c r="AR16" s="1139" t="str">
        <f>IF(IGRF!I20="","",IGRF!I20)</f>
        <v/>
      </c>
      <c r="AS16" s="190"/>
      <c r="AT16" s="191"/>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c r="C17" s="194"/>
      <c r="D17" s="194"/>
      <c r="E17" s="194"/>
      <c r="F17" s="194"/>
      <c r="G17" s="372"/>
      <c r="H17" s="373"/>
      <c r="I17" s="374"/>
      <c r="J17" s="195"/>
      <c r="K17" s="742"/>
      <c r="L17" s="1138"/>
      <c r="M17" s="1140">
        <v>14</v>
      </c>
      <c r="N17" s="1129"/>
      <c r="O17" s="1130">
        <v>14</v>
      </c>
      <c r="P17" s="1142"/>
      <c r="Q17" s="193"/>
      <c r="R17" s="194"/>
      <c r="S17" s="194"/>
      <c r="T17" s="194"/>
      <c r="U17" s="194"/>
      <c r="V17" s="372"/>
      <c r="W17" s="373"/>
      <c r="X17" s="374"/>
      <c r="Y17" s="195"/>
      <c r="Z17" s="742"/>
      <c r="AA17" s="1138"/>
      <c r="AB17" s="725" t="s">
        <v>120</v>
      </c>
      <c r="AC17" s="1145"/>
      <c r="AD17" s="737"/>
      <c r="AE17" s="194"/>
      <c r="AF17" s="194"/>
      <c r="AG17" s="194"/>
      <c r="AH17" s="194"/>
      <c r="AI17" s="372"/>
      <c r="AJ17" s="373"/>
      <c r="AK17" s="374"/>
      <c r="AL17" s="195"/>
      <c r="AM17" s="742"/>
      <c r="AN17" s="1138"/>
      <c r="AO17" s="1140">
        <v>14</v>
      </c>
      <c r="AP17" s="1129"/>
      <c r="AQ17" s="1130"/>
      <c r="AR17" s="1139"/>
      <c r="AS17" s="193"/>
      <c r="AT17" s="194"/>
      <c r="AU17" s="194"/>
      <c r="AV17" s="194"/>
      <c r="AW17" s="194"/>
      <c r="AX17" s="372"/>
      <c r="AY17" s="373"/>
      <c r="AZ17" s="374"/>
      <c r="BA17" s="195"/>
      <c r="BB17" s="742"/>
      <c r="BC17" s="1138"/>
      <c r="BD17" s="621" t="s">
        <v>120</v>
      </c>
    </row>
    <row r="18" spans="1:56" ht="19.149999999999999" customHeight="1" x14ac:dyDescent="0.2">
      <c r="A18" s="1131" t="str">
        <f>IF(IGRF!B21="","",IGRF!B21)</f>
        <v/>
      </c>
      <c r="B18" s="196" t="s">
        <v>126</v>
      </c>
      <c r="C18" s="197"/>
      <c r="D18" s="197"/>
      <c r="E18" s="197"/>
      <c r="F18" s="197"/>
      <c r="G18" s="198"/>
      <c r="H18" s="375"/>
      <c r="I18" s="376"/>
      <c r="J18" s="199"/>
      <c r="K18" s="741"/>
      <c r="L18" s="1123" t="str">
        <f>IF(COUNTA(B18:J18)=0,"",COUNTA(B18:J18))</f>
        <v/>
      </c>
      <c r="M18" s="1125">
        <v>15</v>
      </c>
      <c r="N18" s="1115"/>
      <c r="O18" s="1116">
        <v>15</v>
      </c>
      <c r="P18" s="1131" t="str">
        <f>IF(IGRF!I21="","",IGRF!I21)</f>
        <v/>
      </c>
      <c r="Q18" s="196" t="s">
        <v>444</v>
      </c>
      <c r="R18" s="197" t="s">
        <v>117</v>
      </c>
      <c r="S18" s="197"/>
      <c r="T18" s="197"/>
      <c r="U18" s="197"/>
      <c r="V18" s="198"/>
      <c r="W18" s="375"/>
      <c r="X18" s="376"/>
      <c r="Y18" s="199"/>
      <c r="Z18" s="741"/>
      <c r="AA18" s="1133" t="str">
        <f>IF(COUNTA(Q18:Y18)=0,"",COUNTA(Q18:Y18))</f>
        <v/>
      </c>
      <c r="AB18" s="724" t="s">
        <v>115</v>
      </c>
      <c r="AC18" s="1135" t="str">
        <f>IF(IGRF!B21="","",IGRF!B21)</f>
        <v/>
      </c>
      <c r="AD18" s="738"/>
      <c r="AE18" s="197"/>
      <c r="AF18" s="197"/>
      <c r="AG18" s="197"/>
      <c r="AH18" s="197"/>
      <c r="AI18" s="198"/>
      <c r="AJ18" s="375"/>
      <c r="AK18" s="376"/>
      <c r="AL18" s="199"/>
      <c r="AM18" s="741"/>
      <c r="AN18" s="1123" t="str">
        <f>IF(COUNTA(AD18:AL18)=0,"",COUNTA(AD18:AL18))</f>
        <v/>
      </c>
      <c r="AO18" s="1125">
        <v>15</v>
      </c>
      <c r="AP18" s="1115"/>
      <c r="AQ18" s="1116"/>
      <c r="AR18" s="1126" t="str">
        <f>IF(IGRF!I21="","",IGRF!I21)</f>
        <v/>
      </c>
      <c r="AS18" s="196"/>
      <c r="AT18" s="197"/>
      <c r="AU18" s="197" t="s">
        <v>444</v>
      </c>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t="n">
        <v>17.0</v>
      </c>
      <c r="C19" s="200"/>
      <c r="D19" s="200"/>
      <c r="E19" s="200"/>
      <c r="F19" s="200"/>
      <c r="G19" s="201"/>
      <c r="H19" s="377"/>
      <c r="I19" s="378"/>
      <c r="J19" s="220"/>
      <c r="K19" s="742"/>
      <c r="L19" s="1146"/>
      <c r="M19" s="1140">
        <v>16</v>
      </c>
      <c r="N19" s="1129"/>
      <c r="O19" s="1130">
        <v>16</v>
      </c>
      <c r="P19" s="1148"/>
      <c r="Q19" s="219" t="n">
        <v>3.0</v>
      </c>
      <c r="R19" s="200" t="n">
        <v>15.0</v>
      </c>
      <c r="S19" s="200"/>
      <c r="T19" s="200"/>
      <c r="U19" s="200"/>
      <c r="V19" s="201"/>
      <c r="W19" s="377"/>
      <c r="X19" s="378"/>
      <c r="Y19" s="220"/>
      <c r="Z19" s="742"/>
      <c r="AA19" s="1149"/>
      <c r="AB19" s="720" t="s">
        <v>426</v>
      </c>
      <c r="AC19" s="1150"/>
      <c r="AD19" s="739"/>
      <c r="AE19" s="200"/>
      <c r="AF19" s="200"/>
      <c r="AG19" s="200"/>
      <c r="AH19" s="200"/>
      <c r="AI19" s="201"/>
      <c r="AJ19" s="377"/>
      <c r="AK19" s="378"/>
      <c r="AL19" s="220"/>
      <c r="AM19" s="742"/>
      <c r="AN19" s="1146"/>
      <c r="AO19" s="1140">
        <v>16</v>
      </c>
      <c r="AP19" s="1129"/>
      <c r="AQ19" s="1130"/>
      <c r="AR19" s="1147"/>
      <c r="AS19" s="219"/>
      <c r="AT19" s="200"/>
      <c r="AU19" s="200" t="n">
        <v>8.0</v>
      </c>
      <c r="AV19" s="200"/>
      <c r="AW19" s="200"/>
      <c r="AX19" s="201"/>
      <c r="AY19" s="377"/>
      <c r="AZ19" s="378"/>
      <c r="BA19" s="220"/>
      <c r="BB19" s="742"/>
      <c r="BC19" s="1146"/>
      <c r="BD19" s="622" t="s">
        <v>426</v>
      </c>
    </row>
    <row r="20" spans="1:56" ht="19.149999999999999" customHeight="1" thickBot="1" x14ac:dyDescent="0.25">
      <c r="A20" s="1141" t="str">
        <f>IF(IGRF!B22="","",IGRF!B22)</f>
        <v/>
      </c>
      <c r="B20" s="190" t="s">
        <v>127</v>
      </c>
      <c r="C20" s="191"/>
      <c r="D20" s="191"/>
      <c r="E20" s="191"/>
      <c r="F20" s="191"/>
      <c r="G20" s="369"/>
      <c r="H20" s="370"/>
      <c r="I20" s="371"/>
      <c r="J20" s="192"/>
      <c r="K20" s="741"/>
      <c r="L20" s="1137" t="str">
        <f>IF(COUNTA(B20:J20)=0,"",COUNTA(B20:J20))</f>
        <v/>
      </c>
      <c r="M20" s="1125">
        <v>17</v>
      </c>
      <c r="N20" s="1115"/>
      <c r="O20" s="1116">
        <v>17</v>
      </c>
      <c r="P20" s="1141" t="str">
        <f>IF(IGRF!I22="","",IGRF!I22)</f>
        <v/>
      </c>
      <c r="Q20" s="190" t="s">
        <v>117</v>
      </c>
      <c r="R20" s="191"/>
      <c r="S20" s="191"/>
      <c r="T20" s="191"/>
      <c r="U20" s="191"/>
      <c r="V20" s="369"/>
      <c r="W20" s="370"/>
      <c r="X20" s="371"/>
      <c r="Y20" s="192"/>
      <c r="Z20" s="741"/>
      <c r="AA20" s="1143" t="str">
        <f>IF(COUNTA(Q20:Y20)=0,"",COUNTA(Q20:Y20))</f>
        <v/>
      </c>
      <c r="AB20" s="724" t="s">
        <v>126</v>
      </c>
      <c r="AC20" s="1145" t="str">
        <f>IF(IGRF!B22="","",IGRF!B22)</f>
        <v/>
      </c>
      <c r="AD20" s="736"/>
      <c r="AE20" s="191" t="s">
        <v>126</v>
      </c>
      <c r="AF20" s="191" t="s">
        <v>126</v>
      </c>
      <c r="AG20" s="191" t="s">
        <v>126</v>
      </c>
      <c r="AH20" s="191" t="s">
        <v>126</v>
      </c>
      <c r="AI20" s="369"/>
      <c r="AJ20" s="370"/>
      <c r="AK20" s="371"/>
      <c r="AL20" s="192"/>
      <c r="AM20" s="741"/>
      <c r="AN20" s="1137" t="str">
        <f>IF(COUNTA(AD20:AL20)=0,"",COUNTA(AD20:AL20))</f>
        <v/>
      </c>
      <c r="AO20" s="1125">
        <v>17</v>
      </c>
      <c r="AP20" s="1115"/>
      <c r="AQ20" s="1116"/>
      <c r="AR20" s="1139" t="str">
        <f>IF(IGRF!I22="","",IGRF!I22)</f>
        <v/>
      </c>
      <c r="AS20" s="190"/>
      <c r="AT20" s="191" t="s">
        <v>116</v>
      </c>
      <c r="AU20" s="191"/>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t="n">
        <v>22.0</v>
      </c>
      <c r="C21" s="194"/>
      <c r="D21" s="194"/>
      <c r="E21" s="194"/>
      <c r="F21" s="194"/>
      <c r="G21" s="372"/>
      <c r="H21" s="373"/>
      <c r="I21" s="374"/>
      <c r="J21" s="195"/>
      <c r="K21" s="742"/>
      <c r="L21" s="1138"/>
      <c r="M21" s="1140">
        <v>18</v>
      </c>
      <c r="N21" s="1129"/>
      <c r="O21" s="1130">
        <v>18</v>
      </c>
      <c r="P21" s="1142"/>
      <c r="Q21" s="193" t="n">
        <v>22.0</v>
      </c>
      <c r="R21" s="194"/>
      <c r="S21" s="194"/>
      <c r="T21" s="194"/>
      <c r="U21" s="194"/>
      <c r="V21" s="372"/>
      <c r="W21" s="373"/>
      <c r="X21" s="374"/>
      <c r="Y21" s="195"/>
      <c r="Z21" s="742"/>
      <c r="AA21" s="1144"/>
      <c r="AB21" s="720" t="s">
        <v>427</v>
      </c>
      <c r="AC21" s="1145"/>
      <c r="AD21" s="737"/>
      <c r="AE21" s="194" t="n">
        <v>3.0</v>
      </c>
      <c r="AF21" s="194" t="n">
        <v>7.0</v>
      </c>
      <c r="AG21" s="194" t="n">
        <v>13.0</v>
      </c>
      <c r="AH21" s="194" t="n">
        <v>16.0</v>
      </c>
      <c r="AI21" s="372"/>
      <c r="AJ21" s="373"/>
      <c r="AK21" s="374"/>
      <c r="AL21" s="195"/>
      <c r="AM21" s="742"/>
      <c r="AN21" s="1138"/>
      <c r="AO21" s="1140">
        <v>18</v>
      </c>
      <c r="AP21" s="1129"/>
      <c r="AQ21" s="1130"/>
      <c r="AR21" s="1139"/>
      <c r="AS21" s="193"/>
      <c r="AT21" s="194" t="n">
        <v>1.0</v>
      </c>
      <c r="AU21" s="194"/>
      <c r="AV21" s="194"/>
      <c r="AW21" s="194"/>
      <c r="AX21" s="372"/>
      <c r="AY21" s="373"/>
      <c r="AZ21" s="374"/>
      <c r="BA21" s="195"/>
      <c r="BB21" s="742"/>
      <c r="BC21" s="1138"/>
      <c r="BD21" s="622" t="s">
        <v>427</v>
      </c>
    </row>
    <row r="22" spans="1:56" ht="19.149999999999999" customHeight="1" x14ac:dyDescent="0.2">
      <c r="A22" s="1131" t="str">
        <f>IF(IGRF!B23="","",IGRF!B23)</f>
        <v/>
      </c>
      <c r="B22" s="196"/>
      <c r="C22" s="197"/>
      <c r="D22" s="197"/>
      <c r="E22" s="197"/>
      <c r="F22" s="197"/>
      <c r="G22" s="198"/>
      <c r="H22" s="375"/>
      <c r="I22" s="376"/>
      <c r="J22" s="199"/>
      <c r="K22" s="741"/>
      <c r="L22" s="1123" t="str">
        <f>IF(COUNTA(B22:J22)=0,"",COUNTA(B22:J22))</f>
        <v/>
      </c>
      <c r="M22" s="1125">
        <v>19</v>
      </c>
      <c r="N22" s="1115"/>
      <c r="O22" s="1116">
        <v>19</v>
      </c>
      <c r="P22" s="1131" t="str">
        <f>IF(IGRF!I23="","",IGRF!I23)</f>
        <v/>
      </c>
      <c r="Q22" s="196" t="s">
        <v>444</v>
      </c>
      <c r="R22" s="197" t="s">
        <v>117</v>
      </c>
      <c r="S22" s="197"/>
      <c r="T22" s="197"/>
      <c r="U22" s="197"/>
      <c r="V22" s="198"/>
      <c r="W22" s="375"/>
      <c r="X22" s="376"/>
      <c r="Y22" s="199"/>
      <c r="Z22" s="741"/>
      <c r="AA22" s="1133" t="str">
        <f>IF(COUNTA(Q22:Y22)=0,"",COUNTA(Q22:Y22))</f>
        <v/>
      </c>
      <c r="AB22" s="723" t="s">
        <v>117</v>
      </c>
      <c r="AC22" s="1135" t="str">
        <f>IF(IGRF!B23="","",IGRF!B23)</f>
        <v/>
      </c>
      <c r="AD22" s="738" t="s">
        <v>117</v>
      </c>
      <c r="AE22" s="197"/>
      <c r="AF22" s="197"/>
      <c r="AG22" s="197"/>
      <c r="AH22" s="197"/>
      <c r="AI22" s="198"/>
      <c r="AJ22" s="375"/>
      <c r="AK22" s="376"/>
      <c r="AL22" s="199"/>
      <c r="AM22" s="741"/>
      <c r="AN22" s="1123" t="str">
        <f>IF(COUNTA(AD22:AL22)=0,"",COUNTA(AD22:AL22))</f>
        <v/>
      </c>
      <c r="AO22" s="1125">
        <v>19</v>
      </c>
      <c r="AP22" s="1115"/>
      <c r="AQ22" s="1116"/>
      <c r="AR22" s="1126" t="str">
        <f>IF(IGRF!I23="","",IGRF!I23)</f>
        <v/>
      </c>
      <c r="AS22" s="196"/>
      <c r="AT22" s="197"/>
      <c r="AU22" s="197" t="s">
        <v>127</v>
      </c>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c r="C23" s="200"/>
      <c r="D23" s="200"/>
      <c r="E23" s="200"/>
      <c r="F23" s="200"/>
      <c r="G23" s="201"/>
      <c r="H23" s="377"/>
      <c r="I23" s="378"/>
      <c r="J23" s="220"/>
      <c r="K23" s="742"/>
      <c r="L23" s="1146"/>
      <c r="M23" s="1140">
        <v>20</v>
      </c>
      <c r="N23" s="1129"/>
      <c r="O23" s="1130">
        <v>20</v>
      </c>
      <c r="P23" s="1148"/>
      <c r="Q23" s="219" t="n">
        <v>10.0</v>
      </c>
      <c r="R23" s="200" t="n">
        <v>20.0</v>
      </c>
      <c r="S23" s="200"/>
      <c r="T23" s="200"/>
      <c r="U23" s="200"/>
      <c r="V23" s="201"/>
      <c r="W23" s="377"/>
      <c r="X23" s="378"/>
      <c r="Y23" s="220"/>
      <c r="Z23" s="742"/>
      <c r="AA23" s="1149"/>
      <c r="AB23" s="726" t="s">
        <v>428</v>
      </c>
      <c r="AC23" s="1150"/>
      <c r="AD23" s="739" t="n">
        <v>21.0</v>
      </c>
      <c r="AE23" s="200"/>
      <c r="AF23" s="200"/>
      <c r="AG23" s="200"/>
      <c r="AH23" s="200"/>
      <c r="AI23" s="201"/>
      <c r="AJ23" s="377"/>
      <c r="AK23" s="378"/>
      <c r="AL23" s="220"/>
      <c r="AM23" s="742"/>
      <c r="AN23" s="1146"/>
      <c r="AO23" s="1140">
        <v>20</v>
      </c>
      <c r="AP23" s="1129"/>
      <c r="AQ23" s="1130"/>
      <c r="AR23" s="1147"/>
      <c r="AS23" s="219"/>
      <c r="AT23" s="200"/>
      <c r="AU23" s="200" t="n">
        <v>5.0</v>
      </c>
      <c r="AV23" s="200"/>
      <c r="AW23" s="200"/>
      <c r="AX23" s="201"/>
      <c r="AY23" s="377"/>
      <c r="AZ23" s="378"/>
      <c r="BA23" s="220"/>
      <c r="BB23" s="742"/>
      <c r="BC23" s="1146"/>
      <c r="BD23" s="629" t="s">
        <v>428</v>
      </c>
    </row>
    <row r="24" spans="1:56" ht="19.149999999999999" customHeight="1" thickBot="1" x14ac:dyDescent="0.25">
      <c r="A24" s="1141" t="str">
        <f>IF(IGRF!B24="","",IGRF!B24)</f>
        <v/>
      </c>
      <c r="B24" s="190"/>
      <c r="C24" s="191"/>
      <c r="D24" s="191"/>
      <c r="E24" s="191"/>
      <c r="F24" s="191"/>
      <c r="G24" s="369"/>
      <c r="H24" s="370"/>
      <c r="I24" s="371"/>
      <c r="J24" s="192"/>
      <c r="K24" s="741"/>
      <c r="L24" s="1137" t="str">
        <f>IF(COUNTA(B24:J24)=0,"",COUNTA(B24:J24))</f>
        <v/>
      </c>
      <c r="M24" s="1125">
        <v>21</v>
      </c>
      <c r="N24" s="1115"/>
      <c r="O24" s="1116">
        <v>21</v>
      </c>
      <c r="P24" s="1141" t="str">
        <f>IF(IGRF!I24="","",IGRF!I24)</f>
        <v/>
      </c>
      <c r="Q24" s="190"/>
      <c r="R24" s="191"/>
      <c r="S24" s="191"/>
      <c r="T24" s="191"/>
      <c r="U24" s="191"/>
      <c r="V24" s="369"/>
      <c r="W24" s="370"/>
      <c r="X24" s="371"/>
      <c r="Y24" s="192"/>
      <c r="Z24" s="741"/>
      <c r="AA24" s="1143" t="str">
        <f>IF(COUNTA(Q24:Y24)=0,"",COUNTA(Q24:Y24))</f>
        <v/>
      </c>
      <c r="AB24" s="727" t="s">
        <v>433</v>
      </c>
      <c r="AC24" s="1145" t="str">
        <f>IF(IGRF!B24="","",IGRF!B24)</f>
        <v/>
      </c>
      <c r="AD24" s="736"/>
      <c r="AE24" s="191"/>
      <c r="AF24" s="191"/>
      <c r="AG24" s="191"/>
      <c r="AH24" s="191"/>
      <c r="AI24" s="369"/>
      <c r="AJ24" s="370"/>
      <c r="AK24" s="371"/>
      <c r="AL24" s="192"/>
      <c r="AM24" s="741"/>
      <c r="AN24" s="1137" t="str">
        <f>IF(COUNTA(AD24:AL24)=0,"",COUNTA(AD24:AL24))</f>
        <v/>
      </c>
      <c r="AO24" s="1125">
        <v>21</v>
      </c>
      <c r="AP24" s="1115"/>
      <c r="AQ24" s="1116"/>
      <c r="AR24" s="1139" t="str">
        <f>IF(IGRF!I24="","",IGRF!I24)</f>
        <v/>
      </c>
      <c r="AS24" s="190" t="s">
        <v>127</v>
      </c>
      <c r="AT24" s="191" t="s">
        <v>127</v>
      </c>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c r="C25" s="194"/>
      <c r="D25" s="194"/>
      <c r="E25" s="194"/>
      <c r="F25" s="194"/>
      <c r="G25" s="372"/>
      <c r="H25" s="373"/>
      <c r="I25" s="374"/>
      <c r="J25" s="195"/>
      <c r="K25" s="742"/>
      <c r="L25" s="1138"/>
      <c r="M25" s="1140">
        <v>22</v>
      </c>
      <c r="N25" s="1129"/>
      <c r="O25" s="1130">
        <v>22</v>
      </c>
      <c r="P25" s="1142"/>
      <c r="Q25" s="193"/>
      <c r="R25" s="194"/>
      <c r="S25" s="194"/>
      <c r="T25" s="194"/>
      <c r="U25" s="194"/>
      <c r="V25" s="372"/>
      <c r="W25" s="373"/>
      <c r="X25" s="374"/>
      <c r="Y25" s="195"/>
      <c r="Z25" s="742"/>
      <c r="AA25" s="1138"/>
      <c r="AB25" s="631" t="s">
        <v>437</v>
      </c>
      <c r="AC25" s="1145"/>
      <c r="AD25" s="737"/>
      <c r="AE25" s="194"/>
      <c r="AF25" s="194"/>
      <c r="AG25" s="194"/>
      <c r="AH25" s="194"/>
      <c r="AI25" s="372"/>
      <c r="AJ25" s="373"/>
      <c r="AK25" s="374"/>
      <c r="AL25" s="195"/>
      <c r="AM25" s="742"/>
      <c r="AN25" s="1138"/>
      <c r="AO25" s="1140">
        <v>22</v>
      </c>
      <c r="AP25" s="1129"/>
      <c r="AQ25" s="1130"/>
      <c r="AR25" s="1139"/>
      <c r="AS25" s="193" t="n">
        <v>8.0</v>
      </c>
      <c r="AT25" s="194" t="n">
        <v>20.0</v>
      </c>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t="s">
        <v>127</v>
      </c>
      <c r="R26" s="197" t="s">
        <v>113</v>
      </c>
      <c r="S26" s="197" t="s">
        <v>127</v>
      </c>
      <c r="T26" s="197"/>
      <c r="U26" s="197"/>
      <c r="V26" s="198"/>
      <c r="W26" s="375"/>
      <c r="X26" s="376"/>
      <c r="Y26" s="199"/>
      <c r="Z26" s="741"/>
      <c r="AA26" s="1123" t="str">
        <f>IF(COUNTA(Q26:Y26)=0,"",COUNTA(Q26:Y26))</f>
        <v/>
      </c>
      <c r="AB26" s="723" t="s">
        <v>444</v>
      </c>
      <c r="AC26" s="1135" t="str">
        <f>IF(IGRF!B25="","",IGRF!B25)</f>
        <v/>
      </c>
      <c r="AD26" s="738"/>
      <c r="AE26" s="197"/>
      <c r="AF26" s="197"/>
      <c r="AG26" s="197"/>
      <c r="AH26" s="197"/>
      <c r="AI26" s="198"/>
      <c r="AJ26" s="375"/>
      <c r="AK26" s="376"/>
      <c r="AL26" s="199"/>
      <c r="AM26" s="741"/>
      <c r="AN26" s="1123" t="str">
        <f>IF(COUNTA(AD26:AL26)=0,"",COUNTA(AD26:AL26))</f>
        <v/>
      </c>
      <c r="AO26" s="1125">
        <v>23</v>
      </c>
      <c r="AP26" s="1115"/>
      <c r="AQ26" s="1116"/>
      <c r="AR26" s="1126" t="str">
        <f>IF(IGRF!I25="","",IGRF!I25)</f>
        <v/>
      </c>
      <c r="AS26" s="196"/>
      <c r="AT26" s="197"/>
      <c r="AU26" s="197"/>
      <c r="AV26" s="197" t="s">
        <v>119</v>
      </c>
      <c r="AW26" s="197" t="s">
        <v>113</v>
      </c>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t="n">
        <v>4.0</v>
      </c>
      <c r="R27" s="200" t="n">
        <v>10.0</v>
      </c>
      <c r="S27" s="200" t="n">
        <v>22.0</v>
      </c>
      <c r="T27" s="200"/>
      <c r="U27" s="200"/>
      <c r="V27" s="201"/>
      <c r="W27" s="377"/>
      <c r="X27" s="378"/>
      <c r="Y27" s="220"/>
      <c r="Z27" s="742"/>
      <c r="AA27" s="1149"/>
      <c r="AB27" s="726" t="s">
        <v>429</v>
      </c>
      <c r="AC27" s="1150"/>
      <c r="AD27" s="739"/>
      <c r="AE27" s="200"/>
      <c r="AF27" s="200"/>
      <c r="AG27" s="200"/>
      <c r="AH27" s="200"/>
      <c r="AI27" s="201"/>
      <c r="AJ27" s="377"/>
      <c r="AK27" s="378"/>
      <c r="AL27" s="220"/>
      <c r="AM27" s="742"/>
      <c r="AN27" s="1146"/>
      <c r="AO27" s="1140">
        <v>24</v>
      </c>
      <c r="AP27" s="1129"/>
      <c r="AQ27" s="1130"/>
      <c r="AR27" s="1147"/>
      <c r="AS27" s="219"/>
      <c r="AT27" s="200"/>
      <c r="AU27" s="200"/>
      <c r="AV27" s="200" t="n">
        <v>11.0</v>
      </c>
      <c r="AW27" s="200" t="n">
        <v>12.0</v>
      </c>
      <c r="AX27" s="201"/>
      <c r="AY27" s="377"/>
      <c r="AZ27" s="378"/>
      <c r="BA27" s="220"/>
      <c r="BB27" s="742"/>
      <c r="BC27" s="1146"/>
      <c r="BD27" s="629" t="s">
        <v>429</v>
      </c>
    </row>
    <row r="28" spans="1:56" ht="19.149999999999999" customHeight="1" thickBot="1" x14ac:dyDescent="0.25">
      <c r="A28" s="1141" t="str">
        <f>IF(IGRF!B26="","",IGRF!B26)</f>
        <v/>
      </c>
      <c r="B28" s="190"/>
      <c r="C28" s="191"/>
      <c r="D28" s="191"/>
      <c r="E28" s="191"/>
      <c r="F28" s="191"/>
      <c r="G28" s="369"/>
      <c r="H28" s="370"/>
      <c r="I28" s="371"/>
      <c r="J28" s="192"/>
      <c r="K28" s="741"/>
      <c r="L28" s="1137" t="str">
        <f>IF(COUNTA(B28:J28)=0,"",COUNTA(B28:J28))</f>
        <v/>
      </c>
      <c r="M28" s="1125">
        <v>25</v>
      </c>
      <c r="N28" s="1115"/>
      <c r="O28" s="1116">
        <v>25</v>
      </c>
      <c r="P28" s="1141" t="str">
        <f>IF(IGRF!I26="","",IGRF!I26)</f>
        <v/>
      </c>
      <c r="Q28" s="190"/>
      <c r="R28" s="191"/>
      <c r="S28" s="191"/>
      <c r="T28" s="191"/>
      <c r="U28" s="191"/>
      <c r="V28" s="369"/>
      <c r="W28" s="370"/>
      <c r="X28" s="371"/>
      <c r="Y28" s="192"/>
      <c r="Z28" s="741"/>
      <c r="AA28" s="1143" t="str">
        <f>IF(COUNTA(Q28:Y28)=0,"",COUNTA(Q28:Y28))</f>
        <v/>
      </c>
      <c r="AB28" s="727" t="s">
        <v>434</v>
      </c>
      <c r="AC28" s="1145" t="str">
        <f>IF(IGRF!B26="","",IGRF!B26)</f>
        <v/>
      </c>
      <c r="AD28" s="736"/>
      <c r="AE28" s="191"/>
      <c r="AF28" s="191"/>
      <c r="AG28" s="191"/>
      <c r="AH28" s="191"/>
      <c r="AI28" s="369"/>
      <c r="AJ28" s="370"/>
      <c r="AK28" s="371"/>
      <c r="AL28" s="192"/>
      <c r="AM28" s="741"/>
      <c r="AN28" s="1137" t="str">
        <f>IF(COUNTA(AD28:AL28)=0,"",COUNTA(AD28:AL28))</f>
        <v/>
      </c>
      <c r="AO28" s="1125">
        <v>25</v>
      </c>
      <c r="AP28" s="1115"/>
      <c r="AQ28" s="1116"/>
      <c r="AR28" s="1139" t="str">
        <f>IF(IGRF!I26="","",IGRF!I26)</f>
        <v/>
      </c>
      <c r="AS28" s="190"/>
      <c r="AT28" s="191"/>
      <c r="AU28" s="191"/>
      <c r="AV28" s="191"/>
      <c r="AW28" s="191"/>
      <c r="AX28" s="369"/>
      <c r="AY28" s="370"/>
      <c r="AZ28" s="371"/>
      <c r="BA28" s="192"/>
      <c r="BB28" s="741"/>
      <c r="BC28" s="1137" t="str">
        <f>IF(COUNTA(AS28:BA28)=0,"",COUNTA(AS28:BA28))</f>
        <v/>
      </c>
      <c r="BD28" s="630" t="s">
        <v>434</v>
      </c>
    </row>
    <row r="29" spans="1:56" ht="19.149999999999999" customHeight="1" thickBot="1" x14ac:dyDescent="0.25">
      <c r="A29" s="1142"/>
      <c r="B29" s="193"/>
      <c r="C29" s="194"/>
      <c r="D29" s="194"/>
      <c r="E29" s="194"/>
      <c r="F29" s="194"/>
      <c r="G29" s="372"/>
      <c r="H29" s="373"/>
      <c r="I29" s="374"/>
      <c r="J29" s="195"/>
      <c r="K29" s="742"/>
      <c r="L29" s="1138"/>
      <c r="M29" s="1140">
        <v>26</v>
      </c>
      <c r="N29" s="1129"/>
      <c r="O29" s="1130">
        <v>26</v>
      </c>
      <c r="P29" s="1142"/>
      <c r="Q29" s="193"/>
      <c r="R29" s="194"/>
      <c r="S29" s="194"/>
      <c r="T29" s="194"/>
      <c r="U29" s="194"/>
      <c r="V29" s="372"/>
      <c r="W29" s="373"/>
      <c r="X29" s="374"/>
      <c r="Y29" s="195"/>
      <c r="Z29" s="742"/>
      <c r="AA29" s="1144"/>
      <c r="AB29" s="724" t="s">
        <v>127</v>
      </c>
      <c r="AC29" s="1145"/>
      <c r="AD29" s="737"/>
      <c r="AE29" s="194"/>
      <c r="AF29" s="194"/>
      <c r="AG29" s="194"/>
      <c r="AH29" s="194"/>
      <c r="AI29" s="372"/>
      <c r="AJ29" s="373"/>
      <c r="AK29" s="374"/>
      <c r="AL29" s="195"/>
      <c r="AM29" s="742"/>
      <c r="AN29" s="1138"/>
      <c r="AO29" s="1140">
        <v>26</v>
      </c>
      <c r="AP29" s="1129"/>
      <c r="AQ29" s="1130"/>
      <c r="AR29" s="1139"/>
      <c r="AS29" s="193"/>
      <c r="AT29" s="194"/>
      <c r="AU29" s="194"/>
      <c r="AV29" s="194"/>
      <c r="AW29" s="194"/>
      <c r="AX29" s="372"/>
      <c r="AY29" s="373"/>
      <c r="AZ29" s="374"/>
      <c r="BA29" s="195"/>
      <c r="BB29" s="742"/>
      <c r="BC29" s="1138"/>
      <c r="BD29" s="617" t="s">
        <v>127</v>
      </c>
    </row>
    <row r="30" spans="1:56" ht="19.149999999999999" customHeight="1" x14ac:dyDescent="0.2">
      <c r="A30" s="1131" t="str">
        <f>IF(IGRF!B27="","",IGRF!B27)</f>
        <v/>
      </c>
      <c r="B30" s="196" t="s">
        <v>119</v>
      </c>
      <c r="C30" s="197" t="s">
        <v>124</v>
      </c>
      <c r="D30" s="197" t="s">
        <v>444</v>
      </c>
      <c r="E30" s="197"/>
      <c r="F30" s="197"/>
      <c r="G30" s="198"/>
      <c r="H30" s="375"/>
      <c r="I30" s="376"/>
      <c r="J30" s="199"/>
      <c r="K30" s="741"/>
      <c r="L30" s="1123" t="str">
        <f>IF(COUNTA(B30:J30)=0,"",COUNTA(B30:J30))</f>
        <v/>
      </c>
      <c r="M30" s="1125">
        <v>27</v>
      </c>
      <c r="N30" s="1115"/>
      <c r="O30" s="1116">
        <v>27</v>
      </c>
      <c r="P30" s="1131" t="str">
        <f>IF(IGRF!I27="","",IGRF!I27)</f>
        <v/>
      </c>
      <c r="Q30" s="196" t="s">
        <v>126</v>
      </c>
      <c r="R30" s="197"/>
      <c r="S30" s="197"/>
      <c r="T30" s="197"/>
      <c r="U30" s="197"/>
      <c r="V30" s="198"/>
      <c r="W30" s="375"/>
      <c r="X30" s="376"/>
      <c r="Y30" s="199"/>
      <c r="Z30" s="741"/>
      <c r="AA30" s="1133" t="str">
        <f>IF(COUNTA(Q30:Y30)=0,"",COUNTA(Q30:Y30))</f>
        <v/>
      </c>
      <c r="AB30" s="728" t="s">
        <v>430</v>
      </c>
      <c r="AC30" s="1135" t="str">
        <f>IF(IGRF!B27="","",IGRF!B27)</f>
        <v/>
      </c>
      <c r="AD30" s="738"/>
      <c r="AE30" s="197"/>
      <c r="AF30" s="197"/>
      <c r="AG30" s="197" t="s">
        <v>116</v>
      </c>
      <c r="AH30" s="197" t="s">
        <v>116</v>
      </c>
      <c r="AI30" s="198" t="s">
        <v>121</v>
      </c>
      <c r="AJ30" s="375" t="s">
        <v>117</v>
      </c>
      <c r="AK30" s="376"/>
      <c r="AL30" s="199"/>
      <c r="AM30" s="741" t="s">
        <v>282</v>
      </c>
      <c r="AN30" s="1123" t="str">
        <f>IF(COUNTA(AD30:AL30)=0,"",COUNTA(AD30:AL30))</f>
        <v/>
      </c>
      <c r="AO30" s="1125">
        <v>27</v>
      </c>
      <c r="AP30" s="1115"/>
      <c r="AQ30" s="1116"/>
      <c r="AR30" s="1126" t="str">
        <f>IF(IGRF!I27="","",IGRF!I27)</f>
        <v/>
      </c>
      <c r="AS30" s="196"/>
      <c r="AT30" s="197" t="s">
        <v>444</v>
      </c>
      <c r="AU30" s="197"/>
      <c r="AV30" s="197"/>
      <c r="AW30" s="197"/>
      <c r="AX30" s="198"/>
      <c r="AY30" s="375"/>
      <c r="AZ30" s="376"/>
      <c r="BA30" s="199"/>
      <c r="BB30" s="741"/>
      <c r="BC30" s="1123" t="str">
        <f>IF(COUNTA(AS30:BA30)=0,"",COUNTA(AS30:BA30))</f>
        <v/>
      </c>
      <c r="BD30" s="624" t="s">
        <v>430</v>
      </c>
    </row>
    <row r="31" spans="1:56" ht="19.149999999999999" customHeight="1" thickBot="1" x14ac:dyDescent="0.25">
      <c r="A31" s="1148"/>
      <c r="B31" s="219" t="n">
        <v>14.0</v>
      </c>
      <c r="C31" s="200" t="n">
        <v>17.0</v>
      </c>
      <c r="D31" s="200" t="n">
        <v>19.0</v>
      </c>
      <c r="E31" s="200"/>
      <c r="F31" s="200"/>
      <c r="G31" s="201"/>
      <c r="H31" s="377"/>
      <c r="I31" s="378"/>
      <c r="J31" s="220"/>
      <c r="K31" s="742"/>
      <c r="L31" s="1146"/>
      <c r="M31" s="1140">
        <v>28</v>
      </c>
      <c r="N31" s="1129"/>
      <c r="O31" s="1130">
        <v>28</v>
      </c>
      <c r="P31" s="1148"/>
      <c r="Q31" s="219" t="n">
        <v>12.0</v>
      </c>
      <c r="R31" s="200"/>
      <c r="S31" s="200"/>
      <c r="T31" s="200"/>
      <c r="U31" s="200"/>
      <c r="V31" s="201"/>
      <c r="W31" s="377"/>
      <c r="X31" s="378"/>
      <c r="Y31" s="220"/>
      <c r="Z31" s="742"/>
      <c r="AA31" s="1149"/>
      <c r="AB31" s="729" t="s">
        <v>435</v>
      </c>
      <c r="AC31" s="1150"/>
      <c r="AD31" s="739"/>
      <c r="AE31" s="200"/>
      <c r="AF31" s="200"/>
      <c r="AG31" s="200" t="n">
        <v>3.0</v>
      </c>
      <c r="AH31" s="200" t="n">
        <v>5.0</v>
      </c>
      <c r="AI31" s="201" t="n">
        <v>8.0</v>
      </c>
      <c r="AJ31" s="377" t="n">
        <v>18.0</v>
      </c>
      <c r="AK31" s="378"/>
      <c r="AL31" s="220"/>
      <c r="AM31" s="742" t="n">
        <v>18.0</v>
      </c>
      <c r="AN31" s="1146"/>
      <c r="AO31" s="1140">
        <v>28</v>
      </c>
      <c r="AP31" s="1129"/>
      <c r="AQ31" s="1130"/>
      <c r="AR31" s="1147"/>
      <c r="AS31" s="219"/>
      <c r="AT31" s="200" t="n">
        <v>20.0</v>
      </c>
      <c r="AU31" s="200"/>
      <c r="AV31" s="200"/>
      <c r="AW31" s="200"/>
      <c r="AX31" s="201"/>
      <c r="AY31" s="377"/>
      <c r="AZ31" s="378"/>
      <c r="BA31" s="220"/>
      <c r="BB31" s="742"/>
      <c r="BC31" s="1146"/>
      <c r="BD31" s="623" t="s">
        <v>435</v>
      </c>
    </row>
    <row r="32" spans="1:56" ht="19.149999999999999" customHeight="1" thickBot="1" x14ac:dyDescent="0.25">
      <c r="A32" s="1141" t="str">
        <f>IF(IGRF!B28="","",IGRF!B28)</f>
        <v/>
      </c>
      <c r="B32" s="190"/>
      <c r="C32" s="191"/>
      <c r="D32" s="191"/>
      <c r="E32" s="191"/>
      <c r="F32" s="191"/>
      <c r="G32" s="369"/>
      <c r="H32" s="370"/>
      <c r="I32" s="371"/>
      <c r="J32" s="192"/>
      <c r="K32" s="741"/>
      <c r="L32" s="1137" t="str">
        <f>IF(COUNTA(B32:J32)=0,"",COUNTA(B32:J32))</f>
        <v/>
      </c>
      <c r="M32" s="1125">
        <v>29</v>
      </c>
      <c r="N32" s="1115"/>
      <c r="O32" s="1116">
        <v>29</v>
      </c>
      <c r="P32" s="1141" t="str">
        <f>IF(IGRF!I28="","",IGRF!I28)</f>
        <v/>
      </c>
      <c r="Q32" s="190" t="s">
        <v>127</v>
      </c>
      <c r="R32" s="191" t="s">
        <v>444</v>
      </c>
      <c r="S32" s="191"/>
      <c r="T32" s="191"/>
      <c r="U32" s="191"/>
      <c r="V32" s="369"/>
      <c r="W32" s="370"/>
      <c r="X32" s="371"/>
      <c r="Y32" s="192"/>
      <c r="Z32" s="741"/>
      <c r="AA32" s="1143" t="str">
        <f>IF(COUNTA(Q32:Y32)=0,"",COUNTA(Q32:Y32))</f>
        <v/>
      </c>
      <c r="AB32" s="729" t="s">
        <v>56</v>
      </c>
      <c r="AC32" s="1145" t="str">
        <f>IF(IGRF!B28="","",IGRF!B28)</f>
        <v/>
      </c>
      <c r="AD32" s="736"/>
      <c r="AE32" s="191"/>
      <c r="AF32" s="191"/>
      <c r="AG32" s="191"/>
      <c r="AH32" s="191"/>
      <c r="AI32" s="369"/>
      <c r="AJ32" s="370"/>
      <c r="AK32" s="371"/>
      <c r="AL32" s="192"/>
      <c r="AM32" s="741"/>
      <c r="AN32" s="1137" t="str">
        <f>IF(COUNTA(AD32:AL32)=0,"",COUNTA(AD32:AL32))</f>
        <v/>
      </c>
      <c r="AO32" s="1125">
        <v>29</v>
      </c>
      <c r="AP32" s="1115"/>
      <c r="AQ32" s="1116"/>
      <c r="AR32" s="1139" t="str">
        <f>IF(IGRF!I28="","",IGRF!I28)</f>
        <v/>
      </c>
      <c r="AS32" s="190"/>
      <c r="AT32" s="191"/>
      <c r="AU32" s="191" t="s">
        <v>127</v>
      </c>
      <c r="AV32" s="191" t="s">
        <v>444</v>
      </c>
      <c r="AW32" s="191" t="s">
        <v>126</v>
      </c>
      <c r="AX32" s="369"/>
      <c r="AY32" s="370"/>
      <c r="AZ32" s="371"/>
      <c r="BA32" s="192"/>
      <c r="BB32" s="741"/>
      <c r="BC32" s="1137" t="str">
        <f>IF(COUNTA(AS32:BA32)=0,"",COUNTA(AS32:BA32))</f>
        <v/>
      </c>
      <c r="BD32" s="623" t="s">
        <v>56</v>
      </c>
    </row>
    <row r="33" spans="1:56" ht="19.149999999999999" customHeight="1" thickBot="1" x14ac:dyDescent="0.25">
      <c r="A33" s="1142"/>
      <c r="B33" s="193"/>
      <c r="C33" s="194"/>
      <c r="D33" s="194"/>
      <c r="E33" s="194"/>
      <c r="F33" s="194"/>
      <c r="G33" s="372"/>
      <c r="H33" s="373"/>
      <c r="I33" s="374"/>
      <c r="J33" s="195"/>
      <c r="K33" s="742"/>
      <c r="L33" s="1138"/>
      <c r="M33" s="1140">
        <v>30</v>
      </c>
      <c r="N33" s="1129"/>
      <c r="O33" s="1130">
        <v>30</v>
      </c>
      <c r="P33" s="1142"/>
      <c r="Q33" s="193" t="n">
        <v>5.0</v>
      </c>
      <c r="R33" s="194" t="n">
        <v>19.0</v>
      </c>
      <c r="S33" s="194"/>
      <c r="T33" s="194"/>
      <c r="U33" s="194"/>
      <c r="V33" s="372"/>
      <c r="W33" s="373"/>
      <c r="X33" s="374"/>
      <c r="Y33" s="195"/>
      <c r="Z33" s="742"/>
      <c r="AA33" s="1144"/>
      <c r="AB33" s="730" t="s">
        <v>438</v>
      </c>
      <c r="AC33" s="1145"/>
      <c r="AD33" s="737"/>
      <c r="AE33" s="194"/>
      <c r="AF33" s="194"/>
      <c r="AG33" s="194"/>
      <c r="AH33" s="194"/>
      <c r="AI33" s="372"/>
      <c r="AJ33" s="373"/>
      <c r="AK33" s="374"/>
      <c r="AL33" s="195"/>
      <c r="AM33" s="742"/>
      <c r="AN33" s="1138"/>
      <c r="AO33" s="1140">
        <v>30</v>
      </c>
      <c r="AP33" s="1129"/>
      <c r="AQ33" s="1130"/>
      <c r="AR33" s="1139"/>
      <c r="AS33" s="193"/>
      <c r="AT33" s="194"/>
      <c r="AU33" s="194" t="n">
        <v>1.0</v>
      </c>
      <c r="AV33" s="194" t="n">
        <v>12.0</v>
      </c>
      <c r="AW33" s="194" t="n">
        <v>16.0</v>
      </c>
      <c r="AX33" s="372"/>
      <c r="AY33" s="373"/>
      <c r="AZ33" s="374"/>
      <c r="BA33" s="195"/>
      <c r="BB33" s="742"/>
      <c r="BC33" s="1138"/>
      <c r="BD33" s="612" t="s">
        <v>438</v>
      </c>
    </row>
    <row r="34" spans="1:56" ht="19.149999999999999" customHeight="1" x14ac:dyDescent="0.2">
      <c r="A34" s="1131" t="str">
        <f>IF(IGRF!B29="","",IGRF!B29)</f>
        <v/>
      </c>
      <c r="B34" s="196" t="s">
        <v>124</v>
      </c>
      <c r="C34" s="197" t="s">
        <v>127</v>
      </c>
      <c r="D34" s="197" t="s">
        <v>127</v>
      </c>
      <c r="E34" s="197"/>
      <c r="F34" s="197"/>
      <c r="G34" s="198"/>
      <c r="H34" s="375"/>
      <c r="I34" s="376"/>
      <c r="J34" s="199"/>
      <c r="K34" s="741"/>
      <c r="L34" s="1123" t="str">
        <f>IF(COUNTA(B34:J34)=0,"",COUNTA(B34:J34))</f>
        <v/>
      </c>
      <c r="M34" s="1125">
        <v>31</v>
      </c>
      <c r="N34" s="1115"/>
      <c r="O34" s="1116">
        <v>31</v>
      </c>
      <c r="P34" s="1131" t="str">
        <f>IF(IGRF!I29="","",IGRF!I29)</f>
        <v/>
      </c>
      <c r="Q34" s="196"/>
      <c r="R34" s="197"/>
      <c r="S34" s="197"/>
      <c r="T34" s="197"/>
      <c r="U34" s="197"/>
      <c r="V34" s="198"/>
      <c r="W34" s="375"/>
      <c r="X34" s="376"/>
      <c r="Y34" s="199"/>
      <c r="Z34" s="741"/>
      <c r="AA34" s="1133" t="str">
        <f>IF(COUNTA(Q34:Y34)=0,"",COUNTA(Q34:Y34))</f>
        <v/>
      </c>
      <c r="AB34" s="731" t="s">
        <v>439</v>
      </c>
      <c r="AC34" s="1135" t="str">
        <f>IF(IGRF!B29="","",IGRF!B29)</f>
        <v/>
      </c>
      <c r="AD34" s="738"/>
      <c r="AE34" s="197"/>
      <c r="AF34" s="197"/>
      <c r="AG34" s="197" t="s">
        <v>444</v>
      </c>
      <c r="AH34" s="197"/>
      <c r="AI34" s="198"/>
      <c r="AJ34" s="375"/>
      <c r="AK34" s="376"/>
      <c r="AL34" s="199"/>
      <c r="AM34" s="741"/>
      <c r="AN34" s="1123" t="str">
        <f>IF(COUNTA(AD34:AL34)=0,"",COUNTA(AD34:AL34))</f>
        <v/>
      </c>
      <c r="AO34" s="1125">
        <v>31</v>
      </c>
      <c r="AP34" s="1115"/>
      <c r="AQ34" s="1116"/>
      <c r="AR34" s="1126" t="str">
        <f>IF(IGRF!I29="","",IGRF!I29)</f>
        <v/>
      </c>
      <c r="AS34" s="196"/>
      <c r="AT34" s="197"/>
      <c r="AU34" s="197"/>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t="n">
        <v>10.0</v>
      </c>
      <c r="C35" s="200" t="n">
        <v>20.0</v>
      </c>
      <c r="D35" s="200" t="n">
        <v>22.0</v>
      </c>
      <c r="E35" s="200"/>
      <c r="F35" s="200"/>
      <c r="G35" s="201"/>
      <c r="H35" s="377"/>
      <c r="I35" s="378"/>
      <c r="J35" s="220"/>
      <c r="K35" s="742"/>
      <c r="L35" s="1146"/>
      <c r="M35" s="1140">
        <v>32</v>
      </c>
      <c r="N35" s="1129"/>
      <c r="O35" s="1130">
        <v>32</v>
      </c>
      <c r="P35" s="1148"/>
      <c r="Q35" s="219"/>
      <c r="R35" s="200"/>
      <c r="S35" s="200"/>
      <c r="T35" s="200"/>
      <c r="U35" s="200"/>
      <c r="V35" s="201"/>
      <c r="W35" s="377"/>
      <c r="X35" s="378"/>
      <c r="Y35" s="220"/>
      <c r="Z35" s="742"/>
      <c r="AA35" s="1149"/>
      <c r="AB35" s="731" t="s">
        <v>276</v>
      </c>
      <c r="AC35" s="1150"/>
      <c r="AD35" s="739"/>
      <c r="AE35" s="200"/>
      <c r="AF35" s="200"/>
      <c r="AG35" s="200" t="n">
        <v>12.0</v>
      </c>
      <c r="AH35" s="200"/>
      <c r="AI35" s="201"/>
      <c r="AJ35" s="377"/>
      <c r="AK35" s="378"/>
      <c r="AL35" s="220"/>
      <c r="AM35" s="742"/>
      <c r="AN35" s="1146"/>
      <c r="AO35" s="1140">
        <v>32</v>
      </c>
      <c r="AP35" s="1129"/>
      <c r="AQ35" s="1130"/>
      <c r="AR35" s="1147"/>
      <c r="AS35" s="219"/>
      <c r="AT35" s="200"/>
      <c r="AU35" s="200"/>
      <c r="AV35" s="200"/>
      <c r="AW35" s="200"/>
      <c r="AX35" s="201"/>
      <c r="AY35" s="377"/>
      <c r="AZ35" s="378"/>
      <c r="BA35" s="220"/>
      <c r="BB35" s="742"/>
      <c r="BC35" s="1146"/>
      <c r="BD35" s="613" t="s">
        <v>276</v>
      </c>
    </row>
    <row r="36" spans="1:56" ht="19.149999999999999" customHeight="1" thickBot="1" x14ac:dyDescent="0.25">
      <c r="A36" s="1141" t="str">
        <f>IF(IGRF!B30="","",IGRF!B30)</f>
        <v/>
      </c>
      <c r="B36" s="190"/>
      <c r="C36" s="191"/>
      <c r="D36" s="191"/>
      <c r="E36" s="191"/>
      <c r="F36" s="191"/>
      <c r="G36" s="369"/>
      <c r="H36" s="370"/>
      <c r="I36" s="371"/>
      <c r="J36" s="192"/>
      <c r="K36" s="741"/>
      <c r="L36" s="1137" t="str">
        <f>IF(COUNTA(B36:J36)=0,"",COUNTA(B36:J36))</f>
        <v/>
      </c>
      <c r="M36" s="1125">
        <v>33</v>
      </c>
      <c r="N36" s="1115"/>
      <c r="O36" s="1116">
        <v>33</v>
      </c>
      <c r="P36" s="1141" t="str">
        <f>IF(IGRF!I30="","",IGRF!I30)</f>
        <v/>
      </c>
      <c r="Q36" s="190"/>
      <c r="R36" s="191"/>
      <c r="S36" s="191"/>
      <c r="T36" s="191"/>
      <c r="U36" s="191"/>
      <c r="V36" s="369"/>
      <c r="W36" s="370"/>
      <c r="X36" s="371"/>
      <c r="Y36" s="192"/>
      <c r="Z36" s="741"/>
      <c r="AA36" s="1143" t="str">
        <f>IF(COUNTA(Q36:Y36)=0,"",COUNTA(Q36:Y36))</f>
        <v/>
      </c>
      <c r="AB36" s="723" t="s">
        <v>116</v>
      </c>
      <c r="AC36" s="1145" t="str">
        <f>IF(IGRF!B30="","",IGRF!B30)</f>
        <v/>
      </c>
      <c r="AD36" s="736" t="s">
        <v>116</v>
      </c>
      <c r="AE36" s="191" t="s">
        <v>116</v>
      </c>
      <c r="AF36" s="191" t="s">
        <v>119</v>
      </c>
      <c r="AG36" s="191"/>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c r="C37" s="194"/>
      <c r="D37" s="194"/>
      <c r="E37" s="194"/>
      <c r="F37" s="194"/>
      <c r="G37" s="372"/>
      <c r="H37" s="373"/>
      <c r="I37" s="374"/>
      <c r="J37" s="195"/>
      <c r="K37" s="742"/>
      <c r="L37" s="1138"/>
      <c r="M37" s="1140">
        <v>34</v>
      </c>
      <c r="N37" s="1129"/>
      <c r="O37" s="1130">
        <v>34</v>
      </c>
      <c r="P37" s="1142"/>
      <c r="Q37" s="193"/>
      <c r="R37" s="194"/>
      <c r="S37" s="194"/>
      <c r="T37" s="194"/>
      <c r="U37" s="194"/>
      <c r="V37" s="372"/>
      <c r="W37" s="373"/>
      <c r="X37" s="374"/>
      <c r="Y37" s="195"/>
      <c r="Z37" s="742"/>
      <c r="AA37" s="1144"/>
      <c r="AB37" s="726" t="s">
        <v>431</v>
      </c>
      <c r="AC37" s="1145"/>
      <c r="AD37" s="737" t="n">
        <v>3.0</v>
      </c>
      <c r="AE37" s="194" t="n">
        <v>7.0</v>
      </c>
      <c r="AF37" s="194" t="n">
        <v>21.0</v>
      </c>
      <c r="AG37" s="194"/>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t="s">
        <v>126</v>
      </c>
      <c r="C38" s="197" t="s">
        <v>119</v>
      </c>
      <c r="D38" s="197"/>
      <c r="E38" s="197"/>
      <c r="F38" s="197"/>
      <c r="G38" s="198"/>
      <c r="H38" s="375"/>
      <c r="I38" s="376"/>
      <c r="J38" s="199"/>
      <c r="K38" s="741"/>
      <c r="L38" s="1123" t="str">
        <f>IF(COUNTA(B38:J38)=0,"",COUNTA(B38:J38))</f>
        <v/>
      </c>
      <c r="M38" s="1125">
        <v>35</v>
      </c>
      <c r="N38" s="1115"/>
      <c r="O38" s="1116">
        <v>35</v>
      </c>
      <c r="P38" s="1131" t="str">
        <f>IF(IGRF!I31="","",IGRF!I31)</f>
        <v/>
      </c>
      <c r="Q38" s="196" t="s">
        <v>127</v>
      </c>
      <c r="R38" s="197"/>
      <c r="S38" s="197"/>
      <c r="T38" s="197"/>
      <c r="U38" s="197"/>
      <c r="V38" s="198"/>
      <c r="W38" s="375"/>
      <c r="X38" s="376"/>
      <c r="Y38" s="199"/>
      <c r="Z38" s="741"/>
      <c r="AA38" s="1133" t="str">
        <f>IF(COUNTA(Q38:Y38)=0,"",COUNTA(Q38:Y38))</f>
        <v/>
      </c>
      <c r="AB38" s="632" t="s">
        <v>436</v>
      </c>
      <c r="AC38" s="1135" t="str">
        <f>IF(IGRF!B31="","",IGRF!B31)</f>
        <v/>
      </c>
      <c r="AD38" s="738"/>
      <c r="AE38" s="197"/>
      <c r="AF38" s="197"/>
      <c r="AG38" s="197"/>
      <c r="AH38" s="197"/>
      <c r="AI38" s="198"/>
      <c r="AJ38" s="375"/>
      <c r="AK38" s="376"/>
      <c r="AL38" s="199"/>
      <c r="AM38" s="741"/>
      <c r="AN38" s="1123" t="str">
        <f>IF(COUNTA(AD38:AL38)=0,"",COUNTA(AD38:AL38))</f>
        <v/>
      </c>
      <c r="AO38" s="1125">
        <v>35</v>
      </c>
      <c r="AP38" s="1115"/>
      <c r="AQ38" s="1116"/>
      <c r="AR38" s="1126" t="str">
        <f>IF(IGRF!I31="","",IGRF!I31)</f>
        <v/>
      </c>
      <c r="AS38" s="196"/>
      <c r="AT38" s="197"/>
      <c r="AU38" s="197"/>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t="n">
        <v>10.0</v>
      </c>
      <c r="C39" s="200" t="n">
        <v>14.0</v>
      </c>
      <c r="D39" s="200"/>
      <c r="E39" s="200"/>
      <c r="F39" s="200"/>
      <c r="G39" s="201"/>
      <c r="H39" s="377"/>
      <c r="I39" s="378"/>
      <c r="J39" s="220"/>
      <c r="K39" s="742"/>
      <c r="L39" s="1146"/>
      <c r="M39" s="1140">
        <v>36</v>
      </c>
      <c r="N39" s="1129"/>
      <c r="O39" s="1130">
        <v>36</v>
      </c>
      <c r="P39" s="1148"/>
      <c r="Q39" s="219" t="n">
        <v>10.0</v>
      </c>
      <c r="R39" s="200"/>
      <c r="S39" s="200"/>
      <c r="T39" s="200"/>
      <c r="U39" s="200"/>
      <c r="V39" s="201"/>
      <c r="W39" s="377"/>
      <c r="X39" s="378"/>
      <c r="Y39" s="220"/>
      <c r="Z39" s="742"/>
      <c r="AA39" s="1149"/>
      <c r="AB39" s="724" t="s">
        <v>129</v>
      </c>
      <c r="AC39" s="1150"/>
      <c r="AD39" s="739"/>
      <c r="AE39" s="200"/>
      <c r="AF39" s="200"/>
      <c r="AG39" s="200"/>
      <c r="AH39" s="200"/>
      <c r="AI39" s="201"/>
      <c r="AJ39" s="377"/>
      <c r="AK39" s="378"/>
      <c r="AL39" s="220"/>
      <c r="AM39" s="742"/>
      <c r="AN39" s="1146"/>
      <c r="AO39" s="1140">
        <v>36</v>
      </c>
      <c r="AP39" s="1129"/>
      <c r="AQ39" s="1130"/>
      <c r="AR39" s="1147"/>
      <c r="AS39" s="219"/>
      <c r="AT39" s="200"/>
      <c r="AU39" s="200"/>
      <c r="AV39" s="200"/>
      <c r="AW39" s="200"/>
      <c r="AX39" s="201"/>
      <c r="AY39" s="377"/>
      <c r="AZ39" s="378"/>
      <c r="BA39" s="220"/>
      <c r="BB39" s="742"/>
      <c r="BC39" s="1146"/>
      <c r="BD39" s="617" t="s">
        <v>129</v>
      </c>
    </row>
    <row r="40" spans="1:56" ht="19.149999999999999" customHeight="1" thickBot="1" x14ac:dyDescent="0.25">
      <c r="A40" s="1141" t="str">
        <f>IF(IGRF!B32="","",IGRF!B32)</f>
        <v/>
      </c>
      <c r="B40" s="190"/>
      <c r="C40" s="191"/>
      <c r="D40" s="191"/>
      <c r="E40" s="191"/>
      <c r="F40" s="191"/>
      <c r="G40" s="369"/>
      <c r="H40" s="370"/>
      <c r="I40" s="371"/>
      <c r="J40" s="192"/>
      <c r="K40" s="741"/>
      <c r="L40" s="1137" t="str">
        <f>IF(COUNTA(B40:J40)=0,"",COUNTA(B40:J40))</f>
        <v/>
      </c>
      <c r="M40" s="1125">
        <v>37</v>
      </c>
      <c r="N40" s="1115"/>
      <c r="O40" s="1116">
        <v>37</v>
      </c>
      <c r="P40" s="1141" t="str">
        <f>IF(IGRF!I32="","",IGRF!I32)</f>
        <v/>
      </c>
      <c r="Q40" s="190"/>
      <c r="R40" s="191"/>
      <c r="S40" s="191"/>
      <c r="T40" s="191"/>
      <c r="U40" s="191"/>
      <c r="V40" s="369"/>
      <c r="W40" s="370"/>
      <c r="X40" s="371"/>
      <c r="Y40" s="192"/>
      <c r="Z40" s="741"/>
      <c r="AA40" s="1143" t="str">
        <f>IF(COUNTA(Q40:Y40)=0,"",COUNTA(Q40:Y40))</f>
        <v/>
      </c>
      <c r="AB40" s="720" t="s">
        <v>432</v>
      </c>
      <c r="AC40" s="1145" t="str">
        <f>IF(IGRF!B32="","",IGRF!B32)</f>
        <v/>
      </c>
      <c r="AD40" s="736" t="s">
        <v>115</v>
      </c>
      <c r="AE40" s="191"/>
      <c r="AF40" s="191"/>
      <c r="AG40" s="191"/>
      <c r="AH40" s="191"/>
      <c r="AI40" s="369"/>
      <c r="AJ40" s="370"/>
      <c r="AK40" s="371"/>
      <c r="AL40" s="192"/>
      <c r="AM40" s="741"/>
      <c r="AN40" s="1137" t="str">
        <f>IF(COUNTA(AD40:AL40)=0,"",COUNTA(AD40:AL40))</f>
        <v/>
      </c>
      <c r="AO40" s="1125">
        <v>37</v>
      </c>
      <c r="AP40" s="1115"/>
      <c r="AQ40" s="1116"/>
      <c r="AR40" s="1139" t="str">
        <f>IF(IGRF!I32="","",IGRF!I32)</f>
        <v/>
      </c>
      <c r="AS40" s="190"/>
      <c r="AT40" s="191"/>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c r="C41" s="194"/>
      <c r="D41" s="194"/>
      <c r="E41" s="194"/>
      <c r="F41" s="194"/>
      <c r="G41" s="372"/>
      <c r="H41" s="373"/>
      <c r="I41" s="374"/>
      <c r="J41" s="195"/>
      <c r="K41" s="742"/>
      <c r="L41" s="1138"/>
      <c r="M41" s="1140">
        <v>38</v>
      </c>
      <c r="N41" s="1129"/>
      <c r="O41" s="1130">
        <v>38</v>
      </c>
      <c r="P41" s="1142"/>
      <c r="Q41" s="193"/>
      <c r="R41" s="194"/>
      <c r="S41" s="194"/>
      <c r="T41" s="194"/>
      <c r="U41" s="194"/>
      <c r="V41" s="372"/>
      <c r="W41" s="373"/>
      <c r="X41" s="374"/>
      <c r="Y41" s="195"/>
      <c r="Z41" s="742"/>
      <c r="AA41" s="1144"/>
      <c r="AB41" s="634" t="s">
        <v>176</v>
      </c>
      <c r="AC41" s="1145"/>
      <c r="AD41" s="737" t="n">
        <v>14.0</v>
      </c>
      <c r="AE41" s="194"/>
      <c r="AF41" s="194"/>
      <c r="AG41" s="194"/>
      <c r="AH41" s="194"/>
      <c r="AI41" s="372"/>
      <c r="AJ41" s="373"/>
      <c r="AK41" s="374"/>
      <c r="AL41" s="195"/>
      <c r="AM41" s="742"/>
      <c r="AN41" s="1138"/>
      <c r="AO41" s="1140">
        <v>38</v>
      </c>
      <c r="AP41" s="1129"/>
      <c r="AQ41" s="1130"/>
      <c r="AR41" s="1139"/>
      <c r="AS41" s="193"/>
      <c r="AT41" s="194"/>
      <c r="AU41" s="194"/>
      <c r="AV41" s="194"/>
      <c r="AW41" s="194"/>
      <c r="AX41" s="372"/>
      <c r="AY41" s="373"/>
      <c r="AZ41" s="374"/>
      <c r="BA41" s="195"/>
      <c r="BB41" s="742"/>
      <c r="BC41" s="1138"/>
      <c r="BD41" s="634" t="s">
        <v>176</v>
      </c>
    </row>
    <row r="42" spans="1:56" ht="19.149999999999999" customHeight="1" x14ac:dyDescent="0.2">
      <c r="A42" s="1131" t="str">
        <f>IF(IGRF!B33="","",IGRF!B33)</f>
        <v/>
      </c>
      <c r="B42" s="196" t="s">
        <v>113</v>
      </c>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t="s">
        <v>127</v>
      </c>
      <c r="AT42" s="197" t="s">
        <v>117</v>
      </c>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t="n">
        <v>7.0</v>
      </c>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t="n">
        <v>8.0</v>
      </c>
      <c r="AT43" s="203" t="n">
        <v>11.0</v>
      </c>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t="s">
        <v>630</v>
      </c>
      <c r="H4" s="526"/>
      <c r="I4" s="526"/>
      <c r="J4" s="526"/>
      <c r="K4" s="527" t="s">
        <v>618</v>
      </c>
      <c r="L4" s="526"/>
      <c r="M4" s="526"/>
      <c r="N4" s="526"/>
      <c r="O4" s="527" t="s">
        <v>596</v>
      </c>
      <c r="P4" s="526"/>
      <c r="Q4" s="526"/>
      <c r="R4" s="526"/>
      <c r="S4" s="527" t="s">
        <v>608</v>
      </c>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661</v>
      </c>
      <c r="AH4" s="526"/>
      <c r="AI4" s="526"/>
      <c r="AJ4" s="526"/>
      <c r="AK4" s="527" t="s">
        <v>636</v>
      </c>
      <c r="AL4" s="526"/>
      <c r="AM4" s="526"/>
      <c r="AN4" s="526"/>
      <c r="AO4" s="527" t="s">
        <v>647</v>
      </c>
      <c r="AP4" s="526"/>
      <c r="AQ4" s="526"/>
      <c r="AR4" s="526"/>
      <c r="AS4" s="527" t="s">
        <v>671</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t="s">
        <v>116</v>
      </c>
      <c r="C5" s="308" t="str">
        <f>IF(Score!B5="", "",Score!B5 )</f>
        <v/>
      </c>
      <c r="D5" s="323"/>
      <c r="E5" s="323"/>
      <c r="F5" s="323"/>
      <c r="G5" s="326" t="s">
        <v>610</v>
      </c>
      <c r="H5" s="323"/>
      <c r="I5" s="323"/>
      <c r="J5" s="323"/>
      <c r="K5" s="326" t="s">
        <v>618</v>
      </c>
      <c r="L5" s="323"/>
      <c r="M5" s="323"/>
      <c r="N5" s="323"/>
      <c r="O5" s="326" t="s">
        <v>596</v>
      </c>
      <c r="P5" s="323"/>
      <c r="Q5" s="323"/>
      <c r="R5" s="323"/>
      <c r="S5" s="326" t="s">
        <v>608</v>
      </c>
      <c r="T5" s="323"/>
      <c r="U5" s="323"/>
      <c r="V5" s="325"/>
      <c r="W5" s="338" t="str">
        <f>IF(A5="","",SUMIF(SK!B$3:B$78,ROW(),SK!D$3:D$78))</f>
        <v/>
      </c>
      <c r="X5" s="17"/>
      <c r="Z5" s="17"/>
      <c r="AA5" s="310" t="str">
        <f>IF(Score!T5="", "",Score!T5 )</f>
        <v/>
      </c>
      <c r="AB5" s="310"/>
      <c r="AC5" s="308" t="str">
        <f>IF(Score!U5="", "",Score!U5 )</f>
        <v/>
      </c>
      <c r="AD5" s="323"/>
      <c r="AE5" s="323"/>
      <c r="AF5" s="323"/>
      <c r="AG5" s="326"/>
      <c r="AH5" s="323"/>
      <c r="AI5" s="323"/>
      <c r="AJ5" s="323"/>
      <c r="AK5" s="326"/>
      <c r="AL5" s="323"/>
      <c r="AM5" s="323"/>
      <c r="AN5" s="323"/>
      <c r="AO5" s="326"/>
      <c r="AP5" s="323"/>
      <c r="AQ5" s="323"/>
      <c r="AR5" s="323"/>
      <c r="AS5" s="326"/>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585</v>
      </c>
      <c r="H6" s="323" t="s">
        <v>678</v>
      </c>
      <c r="I6" s="323"/>
      <c r="J6" s="323"/>
      <c r="K6" s="324" t="s">
        <v>593</v>
      </c>
      <c r="L6" s="323"/>
      <c r="M6" s="323"/>
      <c r="N6" s="323"/>
      <c r="O6" s="324" t="s">
        <v>622</v>
      </c>
      <c r="P6" s="323"/>
      <c r="Q6" s="323"/>
      <c r="R6" s="323"/>
      <c r="S6" s="324" t="s">
        <v>606</v>
      </c>
      <c r="T6" s="323"/>
      <c r="U6" s="323"/>
      <c r="V6" s="325"/>
      <c r="W6" s="338" t="str">
        <f>IF(A6="","",SUMIF(SK!B$3:B$78,ROW(),SK!D$3:D$78))</f>
        <v/>
      </c>
      <c r="X6" s="17"/>
      <c r="Y6" s="747" t="str">
        <f>IF(IGRF!B15="","",IGRF!B15)</f>
        <v/>
      </c>
      <c r="Z6" s="512" t="str">
        <f>IF(IGRF!C15="","",IGRF!C15)</f>
        <v/>
      </c>
      <c r="AA6" s="309" t="str">
        <f>IF(Score!T6="", "",Score!T6 )</f>
        <v/>
      </c>
      <c r="AB6" s="309"/>
      <c r="AC6" s="307" t="str">
        <f>IF(Score!U6="", "",Score!U6 )</f>
        <v/>
      </c>
      <c r="AD6" s="323"/>
      <c r="AE6" s="323"/>
      <c r="AF6" s="323"/>
      <c r="AG6" s="324" t="s">
        <v>655</v>
      </c>
      <c r="AH6" s="323"/>
      <c r="AI6" s="323"/>
      <c r="AJ6" s="323"/>
      <c r="AK6" s="324" t="s">
        <v>643</v>
      </c>
      <c r="AL6" s="323"/>
      <c r="AM6" s="323"/>
      <c r="AN6" s="323"/>
      <c r="AO6" s="324" t="s">
        <v>651</v>
      </c>
      <c r="AP6" s="323"/>
      <c r="AQ6" s="323"/>
      <c r="AR6" s="323"/>
      <c r="AS6" s="324" t="s">
        <v>640</v>
      </c>
      <c r="AT6" s="323" t="s">
        <v>678</v>
      </c>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c r="E7" s="323"/>
      <c r="F7" s="323"/>
      <c r="G7" s="326"/>
      <c r="H7" s="323"/>
      <c r="I7" s="323"/>
      <c r="J7" s="323"/>
      <c r="K7" s="326"/>
      <c r="L7" s="323"/>
      <c r="M7" s="323"/>
      <c r="N7" s="323"/>
      <c r="O7" s="326"/>
      <c r="P7" s="323"/>
      <c r="Q7" s="323"/>
      <c r="R7" s="323"/>
      <c r="S7" s="326"/>
      <c r="T7" s="323"/>
      <c r="U7" s="323"/>
      <c r="V7" s="325"/>
      <c r="W7" s="338" t="str">
        <f>IF(A7="","",SUMIF(SK!B$3:B$78,ROW(),SK!D$3:D$78))</f>
        <v/>
      </c>
      <c r="X7" s="17"/>
      <c r="Z7" s="17"/>
      <c r="AA7" s="310" t="str">
        <f>IF(Score!T7="", "",Score!T7 )</f>
        <v/>
      </c>
      <c r="AB7" s="310" t="s">
        <v>116</v>
      </c>
      <c r="AC7" s="308" t="str">
        <f>IF(Score!U7="", "",Score!U7 )</f>
        <v/>
      </c>
      <c r="AD7" s="323"/>
      <c r="AE7" s="323"/>
      <c r="AF7" s="323"/>
      <c r="AG7" s="326" t="s">
        <v>667</v>
      </c>
      <c r="AH7" s="323"/>
      <c r="AI7" s="323"/>
      <c r="AJ7" s="323"/>
      <c r="AK7" s="326" t="s">
        <v>643</v>
      </c>
      <c r="AL7" s="323"/>
      <c r="AM7" s="323"/>
      <c r="AN7" s="323"/>
      <c r="AO7" s="326" t="s">
        <v>651</v>
      </c>
      <c r="AP7" s="323"/>
      <c r="AQ7" s="323"/>
      <c r="AR7" s="323"/>
      <c r="AS7" s="326" t="s">
        <v>640</v>
      </c>
      <c r="AT7" s="323" t="s">
        <v>679</v>
      </c>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585</v>
      </c>
      <c r="H8" s="323" t="s">
        <v>680</v>
      </c>
      <c r="I8" s="323"/>
      <c r="J8" s="323"/>
      <c r="K8" s="324" t="s">
        <v>630</v>
      </c>
      <c r="L8" s="323"/>
      <c r="M8" s="323"/>
      <c r="N8" s="323"/>
      <c r="O8" s="324" t="s">
        <v>618</v>
      </c>
      <c r="P8" s="323"/>
      <c r="Q8" s="323"/>
      <c r="R8" s="323"/>
      <c r="S8" s="324" t="s">
        <v>596</v>
      </c>
      <c r="T8" s="323"/>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661</v>
      </c>
      <c r="AH8" s="323"/>
      <c r="AI8" s="323"/>
      <c r="AJ8" s="323"/>
      <c r="AK8" s="324" t="s">
        <v>636</v>
      </c>
      <c r="AL8" s="323" t="s">
        <v>678</v>
      </c>
      <c r="AM8" s="323"/>
      <c r="AN8" s="323"/>
      <c r="AO8" s="324" t="s">
        <v>647</v>
      </c>
      <c r="AP8" s="323" t="s">
        <v>678</v>
      </c>
      <c r="AQ8" s="323"/>
      <c r="AR8" s="323"/>
      <c r="AS8" s="324" t="s">
        <v>640</v>
      </c>
      <c r="AT8" s="323" t="s">
        <v>680</v>
      </c>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c r="E9" s="323"/>
      <c r="F9" s="323"/>
      <c r="G9" s="326" t="s">
        <v>585</v>
      </c>
      <c r="H9" s="323"/>
      <c r="I9" s="323"/>
      <c r="J9" s="323"/>
      <c r="K9" s="326" t="s">
        <v>593</v>
      </c>
      <c r="L9" s="323" t="s">
        <v>678</v>
      </c>
      <c r="M9" s="323"/>
      <c r="N9" s="323"/>
      <c r="O9" s="326" t="s">
        <v>606</v>
      </c>
      <c r="P9" s="323"/>
      <c r="Q9" s="323"/>
      <c r="R9" s="323"/>
      <c r="S9" s="326" t="s">
        <v>622</v>
      </c>
      <c r="T9" s="323"/>
      <c r="U9" s="323"/>
      <c r="V9" s="325"/>
      <c r="W9" s="338" t="str">
        <f>IF(A9="","",SUMIF(SK!B$3:B$78,ROW(),SK!D$3:D$78))</f>
        <v/>
      </c>
      <c r="X9" s="17"/>
      <c r="Z9" s="17"/>
      <c r="AA9" s="310" t="str">
        <f>IF(Score!T9="", "",Score!T9 )</f>
        <v/>
      </c>
      <c r="AB9" s="310"/>
      <c r="AC9" s="308" t="str">
        <f>IF(Score!U9="", "",Score!U9 )</f>
        <v/>
      </c>
      <c r="AD9" s="323"/>
      <c r="AE9" s="323"/>
      <c r="AF9" s="323"/>
      <c r="AG9" s="326" t="s">
        <v>655</v>
      </c>
      <c r="AH9" s="323" t="s">
        <v>678</v>
      </c>
      <c r="AI9" s="323"/>
      <c r="AJ9" s="323"/>
      <c r="AK9" s="326" t="s">
        <v>636</v>
      </c>
      <c r="AL9" s="323" t="s">
        <v>679</v>
      </c>
      <c r="AM9" s="323"/>
      <c r="AN9" s="323"/>
      <c r="AO9" s="326" t="s">
        <v>647</v>
      </c>
      <c r="AP9" s="323" t="s">
        <v>679</v>
      </c>
      <c r="AQ9" s="323"/>
      <c r="AR9" s="323"/>
      <c r="AS9" s="326" t="s">
        <v>643</v>
      </c>
      <c r="AT9" s="323"/>
      <c r="AU9" s="323"/>
      <c r="AV9" s="325"/>
      <c r="AW9" s="338" t="str">
        <f>IF(AA9="","",SUMIF(SK!R$3:R$78,ROW(),SK!T$3:T$78))</f>
        <v/>
      </c>
      <c r="AX9" s="17"/>
      <c r="AY9" s="550"/>
      <c r="AZ9" s="17"/>
    </row>
    <row r="10" spans="1:52" ht="39" customHeight="1" thickBot="1" x14ac:dyDescent="0.25">
      <c r="A10" s="305" t="str">
        <f>IF(Score!A10="", "",Score!A10 )</f>
        <v/>
      </c>
      <c r="B10" s="309"/>
      <c r="C10" s="307" t="str">
        <f>IF(Score!B10="", "",Score!B10 )</f>
        <v/>
      </c>
      <c r="D10" s="323"/>
      <c r="E10" s="323"/>
      <c r="F10" s="323"/>
      <c r="G10" s="324" t="s">
        <v>608</v>
      </c>
      <c r="H10" s="323"/>
      <c r="I10" s="323"/>
      <c r="J10" s="323"/>
      <c r="K10" s="324" t="s">
        <v>593</v>
      </c>
      <c r="L10" s="323" t="s">
        <v>679</v>
      </c>
      <c r="M10" s="323"/>
      <c r="N10" s="323"/>
      <c r="O10" s="324" t="s">
        <v>630</v>
      </c>
      <c r="P10" s="323"/>
      <c r="Q10" s="323"/>
      <c r="R10" s="323"/>
      <c r="S10" s="324" t="s">
        <v>596</v>
      </c>
      <c r="T10" s="323" t="s">
        <v>678</v>
      </c>
      <c r="U10" s="323"/>
      <c r="V10" s="325"/>
      <c r="W10" s="338" t="str">
        <f>IF(A10="","",SUMIF(SK!B$3:B$78,ROW(),SK!D$3:D$78))</f>
        <v/>
      </c>
      <c r="X10" s="17"/>
      <c r="Y10" s="747" t="str">
        <f>IF(IGRF!B17="","",IGRF!B17)</f>
        <v/>
      </c>
      <c r="Z10" s="512" t="str">
        <f>IF(IGRF!C17="","",IGRF!C17)</f>
        <v/>
      </c>
      <c r="AA10" s="309" t="str">
        <f>IF(Score!T10="", "",Score!T10 )</f>
        <v/>
      </c>
      <c r="AB10" s="309"/>
      <c r="AC10" s="307" t="str">
        <f>IF(Score!U10="", "",Score!U10 )</f>
        <v/>
      </c>
      <c r="AD10" s="323"/>
      <c r="AE10" s="323"/>
      <c r="AF10" s="323"/>
      <c r="AG10" s="324" t="s">
        <v>655</v>
      </c>
      <c r="AH10" s="323" t="s">
        <v>680</v>
      </c>
      <c r="AI10" s="323"/>
      <c r="AJ10" s="323"/>
      <c r="AK10" s="324" t="s">
        <v>636</v>
      </c>
      <c r="AL10" s="323" t="s">
        <v>680</v>
      </c>
      <c r="AM10" s="323"/>
      <c r="AN10" s="323"/>
      <c r="AO10" s="324" t="s">
        <v>647</v>
      </c>
      <c r="AP10" s="323" t="s">
        <v>680</v>
      </c>
      <c r="AQ10" s="323"/>
      <c r="AR10" s="323"/>
      <c r="AS10" s="324" t="s">
        <v>661</v>
      </c>
      <c r="AT10" s="323" t="s">
        <v>678</v>
      </c>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c r="E11" s="323"/>
      <c r="F11" s="323"/>
      <c r="G11" s="326" t="s">
        <v>622</v>
      </c>
      <c r="H11" s="323"/>
      <c r="I11" s="323"/>
      <c r="J11" s="323"/>
      <c r="K11" s="326" t="s">
        <v>593</v>
      </c>
      <c r="L11" s="323" t="s">
        <v>680</v>
      </c>
      <c r="M11" s="323"/>
      <c r="N11" s="323"/>
      <c r="O11" s="326" t="s">
        <v>585</v>
      </c>
      <c r="P11" s="323"/>
      <c r="Q11" s="323"/>
      <c r="R11" s="323"/>
      <c r="S11" s="326" t="s">
        <v>596</v>
      </c>
      <c r="T11" s="323" t="s">
        <v>680</v>
      </c>
      <c r="U11" s="323"/>
      <c r="V11" s="325"/>
      <c r="W11" s="338" t="str">
        <f>IF(A11="","",SUMIF(SK!B$3:B$78,ROW(),SK!D$3:D$78))</f>
        <v/>
      </c>
      <c r="X11" s="17"/>
      <c r="Z11" s="17"/>
      <c r="AA11" s="310" t="str">
        <f>IF(Score!T11="", "",Score!T11 )</f>
        <v/>
      </c>
      <c r="AB11" s="310"/>
      <c r="AC11" s="308" t="str">
        <f>IF(Score!U11="", "",Score!U11 )</f>
        <v/>
      </c>
      <c r="AD11" s="323"/>
      <c r="AE11" s="323"/>
      <c r="AF11" s="323"/>
      <c r="AG11" s="326" t="s">
        <v>655</v>
      </c>
      <c r="AH11" s="323"/>
      <c r="AI11" s="323"/>
      <c r="AJ11" s="323"/>
      <c r="AK11" s="326" t="s">
        <v>640</v>
      </c>
      <c r="AL11" s="323"/>
      <c r="AM11" s="323"/>
      <c r="AN11" s="323"/>
      <c r="AO11" s="326" t="s">
        <v>643</v>
      </c>
      <c r="AP11" s="323"/>
      <c r="AQ11" s="323"/>
      <c r="AR11" s="323"/>
      <c r="AS11" s="326" t="s">
        <v>661</v>
      </c>
      <c r="AT11" s="323" t="s">
        <v>680</v>
      </c>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c r="E12" s="323"/>
      <c r="F12" s="323"/>
      <c r="G12" s="324" t="s">
        <v>608</v>
      </c>
      <c r="H12" s="323"/>
      <c r="I12" s="323"/>
      <c r="J12" s="323"/>
      <c r="K12" s="324" t="s">
        <v>618</v>
      </c>
      <c r="L12" s="323"/>
      <c r="M12" s="323"/>
      <c r="N12" s="323"/>
      <c r="O12" s="324" t="s">
        <v>630</v>
      </c>
      <c r="P12" s="323" t="s">
        <v>678</v>
      </c>
      <c r="Q12" s="323"/>
      <c r="R12" s="323"/>
      <c r="S12" s="324" t="s">
        <v>596</v>
      </c>
      <c r="T12" s="323"/>
      <c r="U12" s="323"/>
      <c r="V12" s="325"/>
      <c r="W12" s="338" t="str">
        <f>IF(A12="","",SUMIF(SK!B$3:B$78,ROW(),SK!D$3:D$78))</f>
        <v/>
      </c>
      <c r="X12" s="17"/>
      <c r="Y12" s="747" t="str">
        <f>IF(IGRF!B18="","",IGRF!B18)</f>
        <v/>
      </c>
      <c r="Z12" s="512" t="str">
        <f>IF(IGRF!C18="","",IGRF!C18)</f>
        <v/>
      </c>
      <c r="AA12" s="309" t="str">
        <f>IF(Score!T12="", "",Score!T12 )</f>
        <v/>
      </c>
      <c r="AB12" s="309"/>
      <c r="AC12" s="307" t="str">
        <f>IF(Score!U12="", "",Score!U12 )</f>
        <v/>
      </c>
      <c r="AD12" s="323"/>
      <c r="AE12" s="323"/>
      <c r="AF12" s="323"/>
      <c r="AG12" s="324" t="s">
        <v>647</v>
      </c>
      <c r="AH12" s="323"/>
      <c r="AI12" s="323"/>
      <c r="AJ12" s="323"/>
      <c r="AK12" s="324" t="s">
        <v>653</v>
      </c>
      <c r="AL12" s="323"/>
      <c r="AM12" s="323"/>
      <c r="AN12" s="323"/>
      <c r="AO12" s="324" t="s">
        <v>636</v>
      </c>
      <c r="AP12" s="323"/>
      <c r="AQ12" s="323"/>
      <c r="AR12" s="323"/>
      <c r="AS12" s="324" t="s">
        <v>671</v>
      </c>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t="s">
        <v>585</v>
      </c>
      <c r="H13" s="323"/>
      <c r="I13" s="323"/>
      <c r="J13" s="323"/>
      <c r="K13" s="326" t="s">
        <v>593</v>
      </c>
      <c r="L13" s="323"/>
      <c r="M13" s="323"/>
      <c r="N13" s="323"/>
      <c r="O13" s="326" t="s">
        <v>630</v>
      </c>
      <c r="P13" s="323" t="s">
        <v>680</v>
      </c>
      <c r="Q13" s="323"/>
      <c r="R13" s="323"/>
      <c r="S13" s="326" t="s">
        <v>622</v>
      </c>
      <c r="T13" s="323"/>
      <c r="U13" s="323"/>
      <c r="V13" s="325"/>
      <c r="W13" s="338" t="str">
        <f>IF(A13="","",SUMIF(SK!B$3:B$78,ROW(),SK!D$3:D$78))</f>
        <v/>
      </c>
      <c r="X13" s="17"/>
      <c r="Z13" s="17"/>
      <c r="AA13" s="310" t="str">
        <f>IF(Score!T13="", "",Score!T13 )</f>
        <v/>
      </c>
      <c r="AB13" s="310"/>
      <c r="AC13" s="308" t="str">
        <f>IF(Score!U13="", "",Score!U13 )</f>
        <v/>
      </c>
      <c r="AD13" s="323"/>
      <c r="AE13" s="323"/>
      <c r="AF13" s="323"/>
      <c r="AG13" s="326" t="s">
        <v>655</v>
      </c>
      <c r="AH13" s="323"/>
      <c r="AI13" s="323"/>
      <c r="AJ13" s="323"/>
      <c r="AK13" s="326" t="s">
        <v>643</v>
      </c>
      <c r="AL13" s="323"/>
      <c r="AM13" s="323"/>
      <c r="AN13" s="323"/>
      <c r="AO13" s="326" t="s">
        <v>651</v>
      </c>
      <c r="AP13" s="323"/>
      <c r="AQ13" s="323"/>
      <c r="AR13" s="323"/>
      <c r="AS13" s="326" t="s">
        <v>640</v>
      </c>
      <c r="AT13" s="323" t="s">
        <v>678</v>
      </c>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c r="E14" s="323"/>
      <c r="F14" s="323"/>
      <c r="G14" s="324" t="s">
        <v>608</v>
      </c>
      <c r="H14" s="323"/>
      <c r="I14" s="323"/>
      <c r="J14" s="323"/>
      <c r="K14" s="324" t="s">
        <v>596</v>
      </c>
      <c r="L14" s="323"/>
      <c r="M14" s="323"/>
      <c r="N14" s="323"/>
      <c r="O14" s="324" t="s">
        <v>618</v>
      </c>
      <c r="P14" s="323"/>
      <c r="Q14" s="323"/>
      <c r="R14" s="323"/>
      <c r="S14" s="324" t="s">
        <v>630</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t="s">
        <v>661</v>
      </c>
      <c r="AH14" s="323"/>
      <c r="AI14" s="323"/>
      <c r="AJ14" s="323"/>
      <c r="AK14" s="324" t="s">
        <v>647</v>
      </c>
      <c r="AL14" s="323"/>
      <c r="AM14" s="323"/>
      <c r="AN14" s="323"/>
      <c r="AO14" s="324" t="s">
        <v>636</v>
      </c>
      <c r="AP14" s="323"/>
      <c r="AQ14" s="323"/>
      <c r="AR14" s="323"/>
      <c r="AS14" s="324" t="s">
        <v>640</v>
      </c>
      <c r="AT14" s="323" t="s">
        <v>680</v>
      </c>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t="s">
        <v>681</v>
      </c>
      <c r="E15" s="323"/>
      <c r="F15" s="323"/>
      <c r="G15" s="326" t="s">
        <v>585</v>
      </c>
      <c r="H15" s="323"/>
      <c r="I15" s="323"/>
      <c r="J15" s="323"/>
      <c r="K15" s="326" t="s">
        <v>593</v>
      </c>
      <c r="L15" s="323" t="s">
        <v>681</v>
      </c>
      <c r="M15" s="323" t="s">
        <v>678</v>
      </c>
      <c r="N15" s="323"/>
      <c r="O15" s="326" t="s">
        <v>622</v>
      </c>
      <c r="P15" s="323" t="s">
        <v>678</v>
      </c>
      <c r="Q15" s="323"/>
      <c r="R15" s="323"/>
      <c r="S15" s="326" t="s">
        <v>606</v>
      </c>
      <c r="T15" s="323"/>
      <c r="U15" s="323"/>
      <c r="V15" s="325"/>
      <c r="W15" s="338" t="str">
        <f>IF(A15="","",SUMIF(SK!B$3:B$78,ROW(),SK!D$3:D$78))</f>
        <v/>
      </c>
      <c r="X15" s="17"/>
      <c r="Z15" s="17"/>
      <c r="AA15" s="310" t="str">
        <f>IF(Score!T15="", "",Score!T15 )</f>
        <v/>
      </c>
      <c r="AB15" s="310"/>
      <c r="AC15" s="308" t="str">
        <f>IF(Score!U15="", "",Score!U15 )</f>
        <v/>
      </c>
      <c r="AD15" s="323" t="s">
        <v>678</v>
      </c>
      <c r="AE15" s="323"/>
      <c r="AF15" s="323"/>
      <c r="AG15" s="326" t="s">
        <v>655</v>
      </c>
      <c r="AH15" s="323" t="s">
        <v>678</v>
      </c>
      <c r="AI15" s="323"/>
      <c r="AJ15" s="323"/>
      <c r="AK15" s="326" t="s">
        <v>651</v>
      </c>
      <c r="AL15" s="323" t="s">
        <v>678</v>
      </c>
      <c r="AM15" s="323"/>
      <c r="AN15" s="323"/>
      <c r="AO15" s="326" t="s">
        <v>643</v>
      </c>
      <c r="AP15" s="323"/>
      <c r="AQ15" s="323"/>
      <c r="AR15" s="323"/>
      <c r="AS15" s="326" t="s">
        <v>640</v>
      </c>
      <c r="AT15" s="323" t="s">
        <v>679</v>
      </c>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c r="H16" s="323"/>
      <c r="I16" s="323"/>
      <c r="J16" s="323"/>
      <c r="K16" s="324"/>
      <c r="L16" s="323"/>
      <c r="M16" s="323"/>
      <c r="N16" s="323"/>
      <c r="O16" s="324"/>
      <c r="P16" s="323"/>
      <c r="Q16" s="323"/>
      <c r="R16" s="323"/>
      <c r="S16" s="324"/>
      <c r="T16" s="323"/>
      <c r="U16" s="323"/>
      <c r="V16" s="325"/>
      <c r="W16" s="338" t="str">
        <f>IF(A16="","",SUMIF(SK!B$3:B$78,ROW(),SK!D$3:D$78))</f>
        <v/>
      </c>
      <c r="X16" s="17"/>
      <c r="Y16" s="747" t="str">
        <f>IF(IGRF!B20="","",IGRF!B20)</f>
        <v/>
      </c>
      <c r="Z16" s="512" t="str">
        <f>IF(IGRF!C20="","",IGRF!C20)</f>
        <v/>
      </c>
      <c r="AA16" s="309" t="str">
        <f>IF(Score!T16="", "",Score!T16 )</f>
        <v/>
      </c>
      <c r="AB16" s="309" t="s">
        <v>116</v>
      </c>
      <c r="AC16" s="307" t="str">
        <f>IF(Score!U16="", "",Score!U16 )</f>
        <v/>
      </c>
      <c r="AD16" s="323" t="s">
        <v>680</v>
      </c>
      <c r="AE16" s="323"/>
      <c r="AF16" s="323"/>
      <c r="AG16" s="324" t="s">
        <v>667</v>
      </c>
      <c r="AH16" s="323" t="s">
        <v>679</v>
      </c>
      <c r="AI16" s="323"/>
      <c r="AJ16" s="323"/>
      <c r="AK16" s="324" t="s">
        <v>651</v>
      </c>
      <c r="AL16" s="323" t="s">
        <v>679</v>
      </c>
      <c r="AM16" s="323"/>
      <c r="AN16" s="323"/>
      <c r="AO16" s="324" t="s">
        <v>643</v>
      </c>
      <c r="AP16" s="323"/>
      <c r="AQ16" s="323"/>
      <c r="AR16" s="323"/>
      <c r="AS16" s="324" t="s">
        <v>640</v>
      </c>
      <c r="AT16" s="323" t="s">
        <v>680</v>
      </c>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c r="E17" s="323"/>
      <c r="F17" s="323"/>
      <c r="G17" s="326" t="s">
        <v>585</v>
      </c>
      <c r="H17" s="323"/>
      <c r="I17" s="323"/>
      <c r="J17" s="323"/>
      <c r="K17" s="326" t="s">
        <v>602</v>
      </c>
      <c r="L17" s="323" t="s">
        <v>680</v>
      </c>
      <c r="M17" s="323"/>
      <c r="N17" s="323"/>
      <c r="O17" s="326" t="s">
        <v>622</v>
      </c>
      <c r="P17" s="323" t="s">
        <v>680</v>
      </c>
      <c r="Q17" s="323"/>
      <c r="R17" s="323"/>
      <c r="S17" s="326" t="s">
        <v>596</v>
      </c>
      <c r="T17" s="323"/>
      <c r="U17" s="323"/>
      <c r="V17" s="325"/>
      <c r="W17" s="338" t="str">
        <f>IF(A17="","",SUMIF(SK!B$3:B$78,ROW(),SK!D$3:D$78))</f>
        <v/>
      </c>
      <c r="X17" s="17"/>
      <c r="Z17" s="17"/>
      <c r="AA17" s="310" t="str">
        <f>IF(Score!T17="", "",Score!T17 )</f>
        <v/>
      </c>
      <c r="AB17" s="310"/>
      <c r="AC17" s="308" t="str">
        <f>IF(Score!U17="", "",Score!U17 )</f>
        <v/>
      </c>
      <c r="AD17" s="323"/>
      <c r="AE17" s="323"/>
      <c r="AF17" s="323"/>
      <c r="AG17" s="326" t="s">
        <v>661</v>
      </c>
      <c r="AH17" s="323"/>
      <c r="AI17" s="323"/>
      <c r="AJ17" s="323"/>
      <c r="AK17" s="326" t="s">
        <v>643</v>
      </c>
      <c r="AL17" s="323" t="s">
        <v>680</v>
      </c>
      <c r="AM17" s="323"/>
      <c r="AN17" s="323"/>
      <c r="AO17" s="326" t="s">
        <v>667</v>
      </c>
      <c r="AP17" s="323" t="s">
        <v>680</v>
      </c>
      <c r="AQ17" s="323"/>
      <c r="AR17" s="323"/>
      <c r="AS17" s="326" t="s">
        <v>640</v>
      </c>
      <c r="AT17" s="323" t="s">
        <v>679</v>
      </c>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t="s">
        <v>630</v>
      </c>
      <c r="H18" s="323"/>
      <c r="I18" s="323"/>
      <c r="J18" s="323"/>
      <c r="K18" s="324" t="s">
        <v>608</v>
      </c>
      <c r="L18" s="323"/>
      <c r="M18" s="323"/>
      <c r="N18" s="323"/>
      <c r="O18" s="324" t="s">
        <v>618</v>
      </c>
      <c r="P18" s="323"/>
      <c r="Q18" s="323"/>
      <c r="R18" s="323"/>
      <c r="S18" s="324" t="s">
        <v>602</v>
      </c>
      <c r="T18" s="323"/>
      <c r="U18" s="323"/>
      <c r="V18" s="325"/>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t="s">
        <v>655</v>
      </c>
      <c r="AH18" s="323"/>
      <c r="AI18" s="323"/>
      <c r="AJ18" s="323"/>
      <c r="AK18" s="324" t="s">
        <v>643</v>
      </c>
      <c r="AL18" s="323"/>
      <c r="AM18" s="323"/>
      <c r="AN18" s="323"/>
      <c r="AO18" s="324" t="s">
        <v>659</v>
      </c>
      <c r="AP18" s="323"/>
      <c r="AQ18" s="323"/>
      <c r="AR18" s="323"/>
      <c r="AS18" s="324" t="s">
        <v>640</v>
      </c>
      <c r="AT18" s="323" t="s">
        <v>680</v>
      </c>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c r="E19" s="323"/>
      <c r="F19" s="323"/>
      <c r="G19" s="326" t="s">
        <v>585</v>
      </c>
      <c r="H19" s="323"/>
      <c r="I19" s="323"/>
      <c r="J19" s="323"/>
      <c r="K19" s="326" t="s">
        <v>622</v>
      </c>
      <c r="L19" s="323"/>
      <c r="M19" s="323"/>
      <c r="N19" s="323"/>
      <c r="O19" s="326" t="s">
        <v>593</v>
      </c>
      <c r="P19" s="323" t="s">
        <v>678</v>
      </c>
      <c r="Q19" s="323"/>
      <c r="R19" s="323"/>
      <c r="S19" s="326" t="s">
        <v>606</v>
      </c>
      <c r="T19" s="323"/>
      <c r="U19" s="323"/>
      <c r="V19" s="325"/>
      <c r="W19" s="338" t="str">
        <f>IF(A19="","",SUMIF(SK!B$3:B$78,ROW(),SK!D$3:D$78))</f>
        <v/>
      </c>
      <c r="X19" s="17"/>
      <c r="Z19" s="17"/>
      <c r="AA19" s="310" t="str">
        <f>IF(Score!T19="", "",Score!T19 )</f>
        <v/>
      </c>
      <c r="AB19" s="310"/>
      <c r="AC19" s="308" t="str">
        <f>IF(Score!U19="", "",Score!U19 )</f>
        <v/>
      </c>
      <c r="AD19" s="323"/>
      <c r="AE19" s="323"/>
      <c r="AF19" s="323"/>
      <c r="AG19" s="326" t="s">
        <v>661</v>
      </c>
      <c r="AH19" s="323"/>
      <c r="AI19" s="323"/>
      <c r="AJ19" s="323"/>
      <c r="AK19" s="326" t="s">
        <v>647</v>
      </c>
      <c r="AL19" s="323"/>
      <c r="AM19" s="323"/>
      <c r="AN19" s="323"/>
      <c r="AO19" s="326" t="s">
        <v>659</v>
      </c>
      <c r="AP19" s="323" t="s">
        <v>680</v>
      </c>
      <c r="AQ19" s="323"/>
      <c r="AR19" s="323"/>
      <c r="AS19" s="326" t="s">
        <v>636</v>
      </c>
      <c r="AT19" s="323"/>
      <c r="AU19" s="323"/>
      <c r="AV19" s="325"/>
      <c r="AW19" s="338" t="str">
        <f>IF(AA19="","",SUMIF(SK!R$3:R$78,ROW(),SK!T$3:T$78))</f>
        <v/>
      </c>
      <c r="AX19" s="17"/>
      <c r="AY19" s="550"/>
      <c r="AZ19" s="17"/>
    </row>
    <row r="20" spans="1:52" ht="39" customHeight="1" thickBot="1" x14ac:dyDescent="0.25">
      <c r="A20" s="305" t="str">
        <f>IF(Score!A20="", "",Score!A20 )</f>
        <v/>
      </c>
      <c r="B20" s="309" t="s">
        <v>116</v>
      </c>
      <c r="C20" s="307" t="str">
        <f>IF(Score!B20="", "",Score!B20 )</f>
        <v/>
      </c>
      <c r="D20" s="323"/>
      <c r="E20" s="323"/>
      <c r="F20" s="323"/>
      <c r="G20" s="324" t="s">
        <v>610</v>
      </c>
      <c r="H20" s="323"/>
      <c r="I20" s="323"/>
      <c r="J20" s="323"/>
      <c r="K20" s="324" t="s">
        <v>622</v>
      </c>
      <c r="L20" s="323"/>
      <c r="M20" s="323"/>
      <c r="N20" s="323"/>
      <c r="O20" s="324" t="s">
        <v>593</v>
      </c>
      <c r="P20" s="323" t="s">
        <v>679</v>
      </c>
      <c r="Q20" s="323"/>
      <c r="R20" s="323"/>
      <c r="S20" s="324" t="s">
        <v>606</v>
      </c>
      <c r="T20" s="323"/>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c r="AH20" s="323"/>
      <c r="AI20" s="323"/>
      <c r="AJ20" s="323"/>
      <c r="AK20" s="324"/>
      <c r="AL20" s="323"/>
      <c r="AM20" s="323"/>
      <c r="AN20" s="323"/>
      <c r="AO20" s="324"/>
      <c r="AP20" s="323"/>
      <c r="AQ20" s="323"/>
      <c r="AR20" s="323"/>
      <c r="AS20" s="324"/>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t="s">
        <v>681</v>
      </c>
      <c r="E21" s="323"/>
      <c r="F21" s="323"/>
      <c r="G21" s="326" t="s">
        <v>630</v>
      </c>
      <c r="H21" s="323"/>
      <c r="I21" s="323"/>
      <c r="J21" s="323"/>
      <c r="K21" s="326" t="s">
        <v>618</v>
      </c>
      <c r="L21" s="323" t="s">
        <v>678</v>
      </c>
      <c r="M21" s="323"/>
      <c r="N21" s="323"/>
      <c r="O21" s="326" t="s">
        <v>593</v>
      </c>
      <c r="P21" s="323" t="s">
        <v>680</v>
      </c>
      <c r="Q21" s="323"/>
      <c r="R21" s="323"/>
      <c r="S21" s="326" t="s">
        <v>596</v>
      </c>
      <c r="T21" s="323"/>
      <c r="U21" s="323"/>
      <c r="V21" s="325"/>
      <c r="W21" s="338" t="str">
        <f>IF(A21="","",SUMIF(SK!B$3:B$78,ROW(),SK!D$3:D$78))</f>
        <v/>
      </c>
      <c r="X21" s="17"/>
      <c r="Z21" s="17"/>
      <c r="AA21" s="310" t="str">
        <f>IF(Score!T21="", "",Score!T21 )</f>
        <v/>
      </c>
      <c r="AB21" s="310"/>
      <c r="AC21" s="308" t="str">
        <f>IF(Score!U21="", "",Score!U21 )</f>
        <v/>
      </c>
      <c r="AD21" s="323"/>
      <c r="AE21" s="323"/>
      <c r="AF21" s="323"/>
      <c r="AG21" s="326" t="s">
        <v>655</v>
      </c>
      <c r="AH21" s="323"/>
      <c r="AI21" s="323"/>
      <c r="AJ21" s="323"/>
      <c r="AK21" s="326" t="s">
        <v>643</v>
      </c>
      <c r="AL21" s="323"/>
      <c r="AM21" s="323"/>
      <c r="AN21" s="323"/>
      <c r="AO21" s="326" t="s">
        <v>651</v>
      </c>
      <c r="AP21" s="323"/>
      <c r="AQ21" s="323"/>
      <c r="AR21" s="323"/>
      <c r="AS21" s="326" t="s">
        <v>663</v>
      </c>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c r="E22" s="323"/>
      <c r="F22" s="323"/>
      <c r="G22" s="324" t="s">
        <v>585</v>
      </c>
      <c r="H22" s="323" t="s">
        <v>678</v>
      </c>
      <c r="I22" s="323"/>
      <c r="J22" s="323"/>
      <c r="K22" s="324" t="s">
        <v>618</v>
      </c>
      <c r="L22" s="323" t="s">
        <v>680</v>
      </c>
      <c r="M22" s="323"/>
      <c r="N22" s="323"/>
      <c r="O22" s="324" t="s">
        <v>622</v>
      </c>
      <c r="P22" s="323"/>
      <c r="Q22" s="323"/>
      <c r="R22" s="323"/>
      <c r="S22" s="324" t="s">
        <v>608</v>
      </c>
      <c r="T22" s="323"/>
      <c r="U22" s="323"/>
      <c r="V22" s="325"/>
      <c r="W22" s="338" t="str">
        <f>IF(A22="","",SUMIF(SK!B$3:B$78,ROW(),SK!D$3:D$78))</f>
        <v/>
      </c>
      <c r="X22" s="17"/>
      <c r="Y22" s="747" t="str">
        <f>IF(IGRF!B23="","",IGRF!B23)</f>
        <v/>
      </c>
      <c r="Z22" s="512" t="str">
        <f>IF(IGRF!C23="","",IGRF!C23)</f>
        <v/>
      </c>
      <c r="AA22" s="309" t="str">
        <f>IF(Score!T22="", "",Score!T22 )</f>
        <v/>
      </c>
      <c r="AB22" s="309"/>
      <c r="AC22" s="307" t="str">
        <f>IF(Score!U22="", "",Score!U22 )</f>
        <v/>
      </c>
      <c r="AD22" s="323"/>
      <c r="AE22" s="323"/>
      <c r="AF22" s="323"/>
      <c r="AG22" s="324" t="s">
        <v>661</v>
      </c>
      <c r="AH22" s="323"/>
      <c r="AI22" s="323"/>
      <c r="AJ22" s="323"/>
      <c r="AK22" s="324" t="s">
        <v>636</v>
      </c>
      <c r="AL22" s="323" t="s">
        <v>678</v>
      </c>
      <c r="AM22" s="323"/>
      <c r="AN22" s="323"/>
      <c r="AO22" s="324" t="s">
        <v>653</v>
      </c>
      <c r="AP22" s="323"/>
      <c r="AQ22" s="323"/>
      <c r="AR22" s="323"/>
      <c r="AS22" s="324" t="s">
        <v>647</v>
      </c>
      <c r="AT22" s="323" t="s">
        <v>678</v>
      </c>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c r="E23" s="323"/>
      <c r="F23" s="323"/>
      <c r="G23" s="326"/>
      <c r="H23" s="323"/>
      <c r="I23" s="323"/>
      <c r="J23" s="323"/>
      <c r="K23" s="326"/>
      <c r="L23" s="323"/>
      <c r="M23" s="323"/>
      <c r="N23" s="323"/>
      <c r="O23" s="326"/>
      <c r="P23" s="323"/>
      <c r="Q23" s="323"/>
      <c r="R23" s="323"/>
      <c r="S23" s="326"/>
      <c r="T23" s="323"/>
      <c r="U23" s="323"/>
      <c r="V23" s="325"/>
      <c r="W23" s="338" t="str">
        <f>IF(A23="","",SUMIF(SK!B$3:B$78,ROW(),SK!D$3:D$78))</f>
        <v/>
      </c>
      <c r="X23" s="17"/>
      <c r="Z23" s="17"/>
      <c r="AA23" s="310" t="str">
        <f>IF(Score!T23="", "",Score!T23 )</f>
        <v/>
      </c>
      <c r="AB23" s="310" t="s">
        <v>116</v>
      </c>
      <c r="AC23" s="308" t="str">
        <f>IF(Score!U23="", "",Score!U23 )</f>
        <v/>
      </c>
      <c r="AD23" s="323"/>
      <c r="AE23" s="323"/>
      <c r="AF23" s="323"/>
      <c r="AG23" s="326" t="s">
        <v>665</v>
      </c>
      <c r="AH23" s="323"/>
      <c r="AI23" s="323"/>
      <c r="AJ23" s="323"/>
      <c r="AK23" s="326" t="s">
        <v>636</v>
      </c>
      <c r="AL23" s="323" t="s">
        <v>679</v>
      </c>
      <c r="AM23" s="323"/>
      <c r="AN23" s="323"/>
      <c r="AO23" s="326" t="s">
        <v>653</v>
      </c>
      <c r="AP23" s="323"/>
      <c r="AQ23" s="323"/>
      <c r="AR23" s="323"/>
      <c r="AS23" s="326" t="s">
        <v>647</v>
      </c>
      <c r="AT23" s="323" t="s">
        <v>679</v>
      </c>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c r="E24" s="323"/>
      <c r="F24" s="323"/>
      <c r="G24" s="324" t="s">
        <v>585</v>
      </c>
      <c r="H24" s="323" t="s">
        <v>680</v>
      </c>
      <c r="I24" s="323"/>
      <c r="J24" s="323"/>
      <c r="K24" s="324" t="s">
        <v>596</v>
      </c>
      <c r="L24" s="323"/>
      <c r="M24" s="323"/>
      <c r="N24" s="323"/>
      <c r="O24" s="324"/>
      <c r="P24" s="323"/>
      <c r="Q24" s="323"/>
      <c r="R24" s="323"/>
      <c r="S24" s="324" t="s">
        <v>608</v>
      </c>
      <c r="T24" s="323"/>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t="s">
        <v>655</v>
      </c>
      <c r="AH24" s="323"/>
      <c r="AI24" s="323"/>
      <c r="AJ24" s="323"/>
      <c r="AK24" s="324" t="s">
        <v>636</v>
      </c>
      <c r="AL24" s="323" t="s">
        <v>680</v>
      </c>
      <c r="AM24" s="323"/>
      <c r="AN24" s="323"/>
      <c r="AO24" s="324" t="s">
        <v>643</v>
      </c>
      <c r="AP24" s="323"/>
      <c r="AQ24" s="323"/>
      <c r="AR24" s="323"/>
      <c r="AS24" s="324" t="s">
        <v>647</v>
      </c>
      <c r="AT24" s="323" t="s">
        <v>680</v>
      </c>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c r="C25" s="308" t="str">
        <f>IF(Score!B25="", "",Score!B25 )</f>
        <v/>
      </c>
      <c r="D25" s="323"/>
      <c r="E25" s="323"/>
      <c r="F25" s="323"/>
      <c r="G25" s="326" t="s">
        <v>585</v>
      </c>
      <c r="H25" s="323"/>
      <c r="I25" s="323"/>
      <c r="J25" s="323"/>
      <c r="K25" s="326" t="s">
        <v>618</v>
      </c>
      <c r="L25" s="323" t="s">
        <v>678</v>
      </c>
      <c r="M25" s="323"/>
      <c r="N25" s="323"/>
      <c r="O25" s="326" t="s">
        <v>606</v>
      </c>
      <c r="P25" s="323" t="s">
        <v>678</v>
      </c>
      <c r="Q25" s="323"/>
      <c r="R25" s="323"/>
      <c r="S25" s="326" t="s">
        <v>622</v>
      </c>
      <c r="T25" s="323"/>
      <c r="U25" s="323"/>
      <c r="V25" s="325"/>
      <c r="W25" s="338" t="str">
        <f>IF(A25="","",SUMIF(SK!B$3:B$78,ROW(),SK!D$3:D$78))</f>
        <v/>
      </c>
      <c r="X25" s="17"/>
      <c r="Z25" s="17"/>
      <c r="AA25" s="310" t="str">
        <f>IF(Score!T25="", "",Score!T25 )</f>
        <v/>
      </c>
      <c r="AB25" s="310"/>
      <c r="AC25" s="308" t="str">
        <f>IF(Score!U25="", "",Score!U25 )</f>
        <v/>
      </c>
      <c r="AD25" s="323"/>
      <c r="AE25" s="323"/>
      <c r="AF25" s="323"/>
      <c r="AG25" s="326" t="s">
        <v>661</v>
      </c>
      <c r="AH25" s="323"/>
      <c r="AI25" s="323"/>
      <c r="AJ25" s="323"/>
      <c r="AK25" s="326" t="s">
        <v>636</v>
      </c>
      <c r="AL25" s="323"/>
      <c r="AM25" s="323"/>
      <c r="AN25" s="323"/>
      <c r="AO25" s="326" t="s">
        <v>671</v>
      </c>
      <c r="AP25" s="323"/>
      <c r="AQ25" s="323"/>
      <c r="AR25" s="323"/>
      <c r="AS25" s="326" t="s">
        <v>647</v>
      </c>
      <c r="AT25" s="323"/>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t="s">
        <v>585</v>
      </c>
      <c r="H26" s="323"/>
      <c r="I26" s="323"/>
      <c r="J26" s="323"/>
      <c r="K26" s="324" t="s">
        <v>618</v>
      </c>
      <c r="L26" s="323" t="s">
        <v>680</v>
      </c>
      <c r="M26" s="323"/>
      <c r="N26" s="323"/>
      <c r="O26" s="324" t="s">
        <v>606</v>
      </c>
      <c r="P26" s="323" t="s">
        <v>680</v>
      </c>
      <c r="Q26" s="323"/>
      <c r="R26" s="323"/>
      <c r="S26" s="324" t="s">
        <v>596</v>
      </c>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c r="AE26" s="323"/>
      <c r="AF26" s="323"/>
      <c r="AG26" s="324" t="s">
        <v>655</v>
      </c>
      <c r="AH26" s="323"/>
      <c r="AI26" s="323"/>
      <c r="AJ26" s="323"/>
      <c r="AK26" s="324" t="s">
        <v>659</v>
      </c>
      <c r="AL26" s="323"/>
      <c r="AM26" s="323"/>
      <c r="AN26" s="323"/>
      <c r="AO26" s="324" t="s">
        <v>643</v>
      </c>
      <c r="AP26" s="323"/>
      <c r="AQ26" s="323"/>
      <c r="AR26" s="323"/>
      <c r="AS26" s="324" t="s">
        <v>651</v>
      </c>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c r="E27" s="323"/>
      <c r="F27" s="323"/>
      <c r="G27" s="326" t="s">
        <v>608</v>
      </c>
      <c r="H27" s="323"/>
      <c r="I27" s="323"/>
      <c r="J27" s="323"/>
      <c r="K27" s="326" t="s">
        <v>630</v>
      </c>
      <c r="L27" s="323"/>
      <c r="M27" s="323"/>
      <c r="N27" s="323"/>
      <c r="O27" s="326" t="s">
        <v>618</v>
      </c>
      <c r="P27" s="323" t="s">
        <v>681</v>
      </c>
      <c r="Q27" s="323"/>
      <c r="R27" s="323"/>
      <c r="S27" s="326" t="s">
        <v>596</v>
      </c>
      <c r="T27" s="323"/>
      <c r="U27" s="323"/>
      <c r="V27" s="325"/>
      <c r="W27" s="338" t="str">
        <f>IF(A27="","",SUMIF(SK!B$3:B$78,ROW(),SK!D$3:D$78))</f>
        <v/>
      </c>
      <c r="X27" s="17"/>
      <c r="Z27" s="17"/>
      <c r="AA27" s="310" t="str">
        <f>IF(Score!T27="", "",Score!T27 )</f>
        <v/>
      </c>
      <c r="AB27" s="310"/>
      <c r="AC27" s="308" t="str">
        <f>IF(Score!U27="", "",Score!U27 )</f>
        <v/>
      </c>
      <c r="AD27" s="323"/>
      <c r="AE27" s="323"/>
      <c r="AF27" s="323"/>
      <c r="AG27" s="326" t="s">
        <v>661</v>
      </c>
      <c r="AH27" s="323" t="s">
        <v>678</v>
      </c>
      <c r="AI27" s="323"/>
      <c r="AJ27" s="323"/>
      <c r="AK27" s="326" t="s">
        <v>636</v>
      </c>
      <c r="AL27" s="323" t="s">
        <v>678</v>
      </c>
      <c r="AM27" s="323"/>
      <c r="AN27" s="323"/>
      <c r="AO27" s="326" t="s">
        <v>643</v>
      </c>
      <c r="AP27" s="323" t="s">
        <v>680</v>
      </c>
      <c r="AQ27" s="323"/>
      <c r="AR27" s="323"/>
      <c r="AS27" s="326" t="s">
        <v>647</v>
      </c>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t="s">
        <v>585</v>
      </c>
      <c r="H28" s="323" t="s">
        <v>678</v>
      </c>
      <c r="I28" s="323"/>
      <c r="J28" s="323"/>
      <c r="K28" s="324" t="s">
        <v>602</v>
      </c>
      <c r="L28" s="323"/>
      <c r="M28" s="323"/>
      <c r="N28" s="323"/>
      <c r="O28" s="324" t="s">
        <v>622</v>
      </c>
      <c r="P28" s="323" t="s">
        <v>681</v>
      </c>
      <c r="Q28" s="323" t="s">
        <v>678</v>
      </c>
      <c r="R28" s="323"/>
      <c r="S28" s="324" t="s">
        <v>620</v>
      </c>
      <c r="T28" s="323"/>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t="s">
        <v>661</v>
      </c>
      <c r="AH28" s="323" t="s">
        <v>680</v>
      </c>
      <c r="AI28" s="323"/>
      <c r="AJ28" s="323"/>
      <c r="AK28" s="324" t="s">
        <v>636</v>
      </c>
      <c r="AL28" s="323" t="s">
        <v>680</v>
      </c>
      <c r="AM28" s="323"/>
      <c r="AN28" s="323"/>
      <c r="AO28" s="324" t="s">
        <v>655</v>
      </c>
      <c r="AP28" s="323"/>
      <c r="AQ28" s="323"/>
      <c r="AR28" s="323"/>
      <c r="AS28" s="324" t="s">
        <v>651</v>
      </c>
      <c r="AT28" s="323" t="s">
        <v>678</v>
      </c>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t="s">
        <v>585</v>
      </c>
      <c r="H29" s="323" t="s">
        <v>680</v>
      </c>
      <c r="I29" s="323"/>
      <c r="J29" s="323"/>
      <c r="K29" s="326" t="s">
        <v>596</v>
      </c>
      <c r="L29" s="323"/>
      <c r="M29" s="323"/>
      <c r="N29" s="323"/>
      <c r="O29" s="326" t="s">
        <v>622</v>
      </c>
      <c r="P29" s="323" t="s">
        <v>680</v>
      </c>
      <c r="Q29" s="323"/>
      <c r="R29" s="323"/>
      <c r="S29" s="326" t="s">
        <v>630</v>
      </c>
      <c r="T29" s="323"/>
      <c r="U29" s="323"/>
      <c r="V29" s="325"/>
      <c r="W29" s="338" t="str">
        <f>IF(A29="","",SUMIF(SK!B$3:B$78,ROW(),SK!D$3:D$78))</f>
        <v/>
      </c>
      <c r="X29" s="17"/>
      <c r="Z29" s="17"/>
      <c r="AA29" s="310" t="str">
        <f>IF(Score!T29="", "",Score!T29 )</f>
        <v/>
      </c>
      <c r="AB29" s="310"/>
      <c r="AC29" s="308" t="str">
        <f>IF(Score!U29="", "",Score!U29 )</f>
        <v/>
      </c>
      <c r="AD29" s="323"/>
      <c r="AE29" s="323"/>
      <c r="AF29" s="323"/>
      <c r="AG29" s="326" t="s">
        <v>661</v>
      </c>
      <c r="AH29" s="323"/>
      <c r="AI29" s="323"/>
      <c r="AJ29" s="323"/>
      <c r="AK29" s="326" t="s">
        <v>671</v>
      </c>
      <c r="AL29" s="323"/>
      <c r="AM29" s="323"/>
      <c r="AN29" s="323"/>
      <c r="AO29" s="326" t="s">
        <v>647</v>
      </c>
      <c r="AP29" s="323"/>
      <c r="AQ29" s="323"/>
      <c r="AR29" s="323"/>
      <c r="AS29" s="326" t="s">
        <v>651</v>
      </c>
      <c r="AT29" s="323" t="s">
        <v>680</v>
      </c>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t="s">
        <v>585</v>
      </c>
      <c r="H30" s="323"/>
      <c r="I30" s="323"/>
      <c r="J30" s="323"/>
      <c r="K30" s="324" t="s">
        <v>593</v>
      </c>
      <c r="L30" s="323"/>
      <c r="M30" s="323"/>
      <c r="N30" s="323"/>
      <c r="O30" s="324" t="s">
        <v>622</v>
      </c>
      <c r="P30" s="323" t="s">
        <v>678</v>
      </c>
      <c r="Q30" s="323"/>
      <c r="R30" s="323"/>
      <c r="S30" s="324" t="s">
        <v>608</v>
      </c>
      <c r="T30" s="323" t="s">
        <v>678</v>
      </c>
      <c r="U30" s="323"/>
      <c r="V30" s="325"/>
      <c r="W30" s="338" t="str">
        <f>IF(A30="","",SUMIF(SK!B$3:B$78,ROW(),SK!D$3:D$78))</f>
        <v/>
      </c>
      <c r="X30" s="17"/>
      <c r="Y30" s="747" t="str">
        <f>IF(IGRF!B27="","",IGRF!B27)</f>
        <v/>
      </c>
      <c r="Z30" s="512" t="str">
        <f>IF(IGRF!C27="","",IGRF!C27)</f>
        <v/>
      </c>
      <c r="AA30" s="309" t="str">
        <f>IF(Score!T30="", "",Score!T30 )</f>
        <v/>
      </c>
      <c r="AB30" s="309"/>
      <c r="AC30" s="307" t="str">
        <f>IF(Score!U30="", "",Score!U30 )</f>
        <v/>
      </c>
      <c r="AD30" s="323" t="s">
        <v>678</v>
      </c>
      <c r="AE30" s="323"/>
      <c r="AF30" s="323"/>
      <c r="AG30" s="324" t="s">
        <v>643</v>
      </c>
      <c r="AH30" s="323" t="s">
        <v>678</v>
      </c>
      <c r="AI30" s="323"/>
      <c r="AJ30" s="323"/>
      <c r="AK30" s="324" t="s">
        <v>659</v>
      </c>
      <c r="AL30" s="323"/>
      <c r="AM30" s="323"/>
      <c r="AN30" s="323"/>
      <c r="AO30" s="324" t="s">
        <v>640</v>
      </c>
      <c r="AP30" s="323" t="s">
        <v>678</v>
      </c>
      <c r="AQ30" s="323"/>
      <c r="AR30" s="323"/>
      <c r="AS30" s="324" t="s">
        <v>655</v>
      </c>
      <c r="AT30" s="323" t="s">
        <v>678</v>
      </c>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c r="H31" s="323"/>
      <c r="I31" s="323"/>
      <c r="J31" s="323"/>
      <c r="K31" s="326"/>
      <c r="L31" s="323"/>
      <c r="M31" s="323"/>
      <c r="N31" s="323"/>
      <c r="O31" s="326"/>
      <c r="P31" s="323"/>
      <c r="Q31" s="323"/>
      <c r="R31" s="323"/>
      <c r="S31" s="326"/>
      <c r="T31" s="323"/>
      <c r="U31" s="323"/>
      <c r="V31" s="325"/>
      <c r="W31" s="338" t="str">
        <f>IF(A31="","",SUMIF(SK!B$3:B$78,ROW(),SK!D$3:D$78))</f>
        <v/>
      </c>
      <c r="X31" s="17"/>
      <c r="Z31" s="17"/>
      <c r="AA31" s="310" t="str">
        <f>IF(Score!T31="", "",Score!T31 )</f>
        <v/>
      </c>
      <c r="AB31" s="310"/>
      <c r="AC31" s="308" t="str">
        <f>IF(Score!U31="", "",Score!U31 )</f>
        <v/>
      </c>
      <c r="AD31" s="323"/>
      <c r="AE31" s="323"/>
      <c r="AF31" s="323"/>
      <c r="AG31" s="326"/>
      <c r="AH31" s="323"/>
      <c r="AI31" s="323"/>
      <c r="AJ31" s="323"/>
      <c r="AK31" s="326"/>
      <c r="AL31" s="323"/>
      <c r="AM31" s="323"/>
      <c r="AN31" s="323"/>
      <c r="AO31" s="326"/>
      <c r="AP31" s="323"/>
      <c r="AQ31" s="323"/>
      <c r="AR31" s="323"/>
      <c r="AS31" s="326"/>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t="s">
        <v>630</v>
      </c>
      <c r="H46" s="323"/>
      <c r="I46" s="323"/>
      <c r="J46" s="323"/>
      <c r="K46" s="324" t="s">
        <v>596</v>
      </c>
      <c r="L46" s="323"/>
      <c r="M46" s="323"/>
      <c r="N46" s="323"/>
      <c r="O46" s="324" t="s">
        <v>622</v>
      </c>
      <c r="P46" s="323" t="s">
        <v>680</v>
      </c>
      <c r="Q46" s="323"/>
      <c r="R46" s="323"/>
      <c r="S46" s="324" t="s">
        <v>608</v>
      </c>
      <c r="T46" s="323" t="s">
        <v>680</v>
      </c>
      <c r="U46" s="323"/>
      <c r="V46" s="325"/>
      <c r="W46" s="338" t="str">
        <f>IF(A46="","",SUMIF(SK!B$88:B$163,ROW(),SK!D$88:D$163))</f>
        <v/>
      </c>
      <c r="X46" s="17"/>
      <c r="Y46" s="747" t="str">
        <f>Y4</f>
        <v/>
      </c>
      <c r="Z46" s="512" t="str">
        <f>Z4</f>
        <v/>
      </c>
      <c r="AA46" s="309" t="str">
        <f>IF(Score!T46="", "",Score!T46 )</f>
        <v/>
      </c>
      <c r="AB46" s="309"/>
      <c r="AC46" s="307" t="str">
        <f>IF(Score!U46="", "",Score!U46 )</f>
        <v/>
      </c>
      <c r="AD46" s="323" t="s">
        <v>680</v>
      </c>
      <c r="AE46" s="323" t="s">
        <v>678</v>
      </c>
      <c r="AF46" s="323"/>
      <c r="AG46" s="324" t="s">
        <v>643</v>
      </c>
      <c r="AH46" s="323" t="s">
        <v>680</v>
      </c>
      <c r="AI46" s="323"/>
      <c r="AJ46" s="323"/>
      <c r="AK46" s="324" t="s">
        <v>661</v>
      </c>
      <c r="AL46" s="323" t="s">
        <v>678</v>
      </c>
      <c r="AM46" s="323"/>
      <c r="AN46" s="323"/>
      <c r="AO46" s="324" t="s">
        <v>640</v>
      </c>
      <c r="AP46" s="323" t="s">
        <v>680</v>
      </c>
      <c r="AQ46" s="323"/>
      <c r="AR46" s="323"/>
      <c r="AS46" s="324" t="s">
        <v>655</v>
      </c>
      <c r="AT46" s="323" t="s">
        <v>680</v>
      </c>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t="s">
        <v>585</v>
      </c>
      <c r="H47" s="323"/>
      <c r="I47" s="323"/>
      <c r="J47" s="323"/>
      <c r="K47" s="326" t="s">
        <v>602</v>
      </c>
      <c r="L47" s="323"/>
      <c r="M47" s="323"/>
      <c r="N47" s="323"/>
      <c r="O47" s="326" t="s">
        <v>593</v>
      </c>
      <c r="P47" s="323"/>
      <c r="Q47" s="323"/>
      <c r="R47" s="323"/>
      <c r="S47" s="326" t="s">
        <v>622</v>
      </c>
      <c r="T47" s="323"/>
      <c r="U47" s="323"/>
      <c r="V47" s="325"/>
      <c r="W47" s="338" t="str">
        <f>IF(A47="","",SUMIF(SK!B$88:B$163,ROW(),SK!D$88:D$163))</f>
        <v/>
      </c>
      <c r="X47" s="17"/>
      <c r="Y47" s="550"/>
      <c r="Z47" s="512"/>
      <c r="AA47" s="310" t="str">
        <f>IF(Score!T47="", "",Score!T47 )</f>
        <v/>
      </c>
      <c r="AB47" s="310"/>
      <c r="AC47" s="308" t="str">
        <f>IF(Score!U47="", "",Score!U47 )</f>
        <v/>
      </c>
      <c r="AD47" s="323" t="s">
        <v>680</v>
      </c>
      <c r="AE47" s="323"/>
      <c r="AF47" s="323"/>
      <c r="AG47" s="326" t="s">
        <v>647</v>
      </c>
      <c r="AH47" s="323"/>
      <c r="AI47" s="323"/>
      <c r="AJ47" s="323"/>
      <c r="AK47" s="326" t="s">
        <v>661</v>
      </c>
      <c r="AL47" s="323" t="s">
        <v>680</v>
      </c>
      <c r="AM47" s="323"/>
      <c r="AN47" s="323"/>
      <c r="AO47" s="326" t="s">
        <v>636</v>
      </c>
      <c r="AP47" s="323"/>
      <c r="AQ47" s="323"/>
      <c r="AR47" s="323"/>
      <c r="AS47" s="326" t="s">
        <v>671</v>
      </c>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t="s">
        <v>681</v>
      </c>
      <c r="E48" s="323"/>
      <c r="F48" s="323"/>
      <c r="G48" s="324" t="s">
        <v>630</v>
      </c>
      <c r="H48" s="323"/>
      <c r="I48" s="323"/>
      <c r="J48" s="323"/>
      <c r="K48" s="324" t="s">
        <v>608</v>
      </c>
      <c r="L48" s="323" t="s">
        <v>681</v>
      </c>
      <c r="M48" s="323"/>
      <c r="N48" s="323"/>
      <c r="O48" s="324" t="s">
        <v>618</v>
      </c>
      <c r="P48" s="323" t="s">
        <v>681</v>
      </c>
      <c r="Q48" s="323"/>
      <c r="R48" s="323"/>
      <c r="S48" s="324" t="s">
        <v>596</v>
      </c>
      <c r="T48" s="323" t="s">
        <v>678</v>
      </c>
      <c r="U48" s="323"/>
      <c r="V48" s="325"/>
      <c r="W48" s="338" t="str">
        <f>IF(A48="","",SUMIF(SK!B$88:B$163,ROW(),SK!D$88:D$163))</f>
        <v/>
      </c>
      <c r="X48" s="17"/>
      <c r="Y48" s="747" t="str">
        <f>Y6</f>
        <v/>
      </c>
      <c r="Z48" s="512" t="str">
        <f>Z6</f>
        <v/>
      </c>
      <c r="AA48" s="309" t="str">
        <f>IF(Score!T48="", "",Score!T48 )</f>
        <v/>
      </c>
      <c r="AB48" s="309"/>
      <c r="AC48" s="307" t="str">
        <f>IF(Score!U48="", "",Score!U48 )</f>
        <v/>
      </c>
      <c r="AD48" s="323"/>
      <c r="AE48" s="323"/>
      <c r="AF48" s="323"/>
      <c r="AG48" s="324" t="s">
        <v>643</v>
      </c>
      <c r="AH48" s="323"/>
      <c r="AI48" s="323"/>
      <c r="AJ48" s="323"/>
      <c r="AK48" s="324" t="s">
        <v>640</v>
      </c>
      <c r="AL48" s="323"/>
      <c r="AM48" s="323"/>
      <c r="AN48" s="323"/>
      <c r="AO48" s="324" t="s">
        <v>655</v>
      </c>
      <c r="AP48" s="323"/>
      <c r="AQ48" s="323"/>
      <c r="AR48" s="323"/>
      <c r="AS48" s="324" t="s">
        <v>651</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t="s">
        <v>585</v>
      </c>
      <c r="H49" s="323"/>
      <c r="I49" s="323"/>
      <c r="J49" s="323"/>
      <c r="K49" s="326" t="s">
        <v>593</v>
      </c>
      <c r="L49" s="323"/>
      <c r="M49" s="323"/>
      <c r="N49" s="323"/>
      <c r="O49" s="326" t="s">
        <v>622</v>
      </c>
      <c r="P49" s="323"/>
      <c r="Q49" s="323"/>
      <c r="R49" s="323"/>
      <c r="S49" s="326" t="s">
        <v>596</v>
      </c>
      <c r="T49" s="323" t="s">
        <v>680</v>
      </c>
      <c r="U49" s="323" t="s">
        <v>678</v>
      </c>
      <c r="V49" s="325"/>
      <c r="W49" s="338" t="str">
        <f>IF(A49="","",SUMIF(SK!B$88:B$163,ROW(),SK!D$88:D$163))</f>
        <v/>
      </c>
      <c r="X49" s="17"/>
      <c r="Y49" s="550"/>
      <c r="Z49" s="512"/>
      <c r="AA49" s="310" t="str">
        <f>IF(Score!T49="", "",Score!T49 )</f>
        <v/>
      </c>
      <c r="AB49" s="310"/>
      <c r="AC49" s="308" t="str">
        <f>IF(Score!U49="", "",Score!U49 )</f>
        <v/>
      </c>
      <c r="AD49" s="323"/>
      <c r="AE49" s="323"/>
      <c r="AF49" s="323"/>
      <c r="AG49" s="326" t="s">
        <v>661</v>
      </c>
      <c r="AH49" s="323"/>
      <c r="AI49" s="323"/>
      <c r="AJ49" s="323"/>
      <c r="AK49" s="326" t="s">
        <v>636</v>
      </c>
      <c r="AL49" s="323" t="s">
        <v>678</v>
      </c>
      <c r="AM49" s="323"/>
      <c r="AN49" s="323"/>
      <c r="AO49" s="326" t="s">
        <v>671</v>
      </c>
      <c r="AP49" s="323"/>
      <c r="AQ49" s="323"/>
      <c r="AR49" s="323"/>
      <c r="AS49" s="326" t="s">
        <v>647</v>
      </c>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c r="E50" s="323"/>
      <c r="F50" s="323"/>
      <c r="G50" s="324" t="s">
        <v>630</v>
      </c>
      <c r="H50" s="323"/>
      <c r="I50" s="323"/>
      <c r="J50" s="323"/>
      <c r="K50" s="324" t="s">
        <v>608</v>
      </c>
      <c r="L50" s="323"/>
      <c r="M50" s="323"/>
      <c r="N50" s="323"/>
      <c r="O50" s="324" t="s">
        <v>618</v>
      </c>
      <c r="P50" s="323" t="s">
        <v>678</v>
      </c>
      <c r="Q50" s="323"/>
      <c r="R50" s="323"/>
      <c r="S50" s="324" t="s">
        <v>596</v>
      </c>
      <c r="T50" s="323" t="s">
        <v>679</v>
      </c>
      <c r="U50" s="323"/>
      <c r="V50" s="325"/>
      <c r="W50" s="338" t="str">
        <f>IF(A50="","",SUMIF(SK!B$88:B$163,ROW(),SK!D$88:D$163))</f>
        <v/>
      </c>
      <c r="X50" s="17"/>
      <c r="Y50" s="747" t="str">
        <f>Y8</f>
        <v/>
      </c>
      <c r="Z50" s="512" t="str">
        <f>Z8</f>
        <v/>
      </c>
      <c r="AA50" s="309" t="str">
        <f>IF(Score!T50="", "",Score!T50 )</f>
        <v/>
      </c>
      <c r="AB50" s="309"/>
      <c r="AC50" s="307" t="str">
        <f>IF(Score!U50="", "",Score!U50 )</f>
        <v/>
      </c>
      <c r="AD50" s="323"/>
      <c r="AE50" s="323"/>
      <c r="AF50" s="323"/>
      <c r="AG50" s="324" t="s">
        <v>643</v>
      </c>
      <c r="AH50" s="323"/>
      <c r="AI50" s="323"/>
      <c r="AJ50" s="323"/>
      <c r="AK50" s="324" t="s">
        <v>636</v>
      </c>
      <c r="AL50" s="323" t="s">
        <v>679</v>
      </c>
      <c r="AM50" s="323"/>
      <c r="AN50" s="323"/>
      <c r="AO50" s="324" t="s">
        <v>651</v>
      </c>
      <c r="AP50" s="323"/>
      <c r="AQ50" s="323"/>
      <c r="AR50" s="323"/>
      <c r="AS50" s="324" t="s">
        <v>655</v>
      </c>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t="s">
        <v>116</v>
      </c>
      <c r="C51" s="308" t="str">
        <f>IF(Score!B51="", "",Score!B51 )</f>
        <v/>
      </c>
      <c r="D51" s="323"/>
      <c r="E51" s="323"/>
      <c r="F51" s="323"/>
      <c r="G51" s="326" t="s">
        <v>626</v>
      </c>
      <c r="H51" s="323"/>
      <c r="I51" s="323"/>
      <c r="J51" s="323"/>
      <c r="K51" s="326" t="s">
        <v>608</v>
      </c>
      <c r="L51" s="323"/>
      <c r="M51" s="323"/>
      <c r="N51" s="323"/>
      <c r="O51" s="326" t="s">
        <v>618</v>
      </c>
      <c r="P51" s="323" t="s">
        <v>679</v>
      </c>
      <c r="Q51" s="323"/>
      <c r="R51" s="323"/>
      <c r="S51" s="326" t="s">
        <v>596</v>
      </c>
      <c r="T51" s="323" t="s">
        <v>680</v>
      </c>
      <c r="U51" s="323"/>
      <c r="V51" s="325"/>
      <c r="W51" s="338" t="str">
        <f>IF(A51="","",SUMIF(SK!B$88:B$163,ROW(),SK!D$88:D$163))</f>
        <v/>
      </c>
      <c r="X51" s="17"/>
      <c r="Y51" s="550"/>
      <c r="Z51" s="512"/>
      <c r="AA51" s="310" t="str">
        <f>IF(Score!T51="", "",Score!T51 )</f>
        <v/>
      </c>
      <c r="AB51" s="310"/>
      <c r="AC51" s="308" t="str">
        <f>IF(Score!U51="", "",Score!U51 )</f>
        <v/>
      </c>
      <c r="AD51" s="323"/>
      <c r="AE51" s="323"/>
      <c r="AF51" s="323"/>
      <c r="AG51" s="326"/>
      <c r="AH51" s="323"/>
      <c r="AI51" s="323"/>
      <c r="AJ51" s="323"/>
      <c r="AK51" s="326"/>
      <c r="AL51" s="323"/>
      <c r="AM51" s="323"/>
      <c r="AN51" s="323"/>
      <c r="AO51" s="326"/>
      <c r="AP51" s="323"/>
      <c r="AQ51" s="323"/>
      <c r="AR51" s="323"/>
      <c r="AS51" s="326"/>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t="s">
        <v>585</v>
      </c>
      <c r="H52" s="323"/>
      <c r="I52" s="323"/>
      <c r="J52" s="323"/>
      <c r="K52" s="324" t="s">
        <v>622</v>
      </c>
      <c r="L52" s="323"/>
      <c r="M52" s="323"/>
      <c r="N52" s="323"/>
      <c r="O52" s="324" t="s">
        <v>618</v>
      </c>
      <c r="P52" s="323" t="s">
        <v>680</v>
      </c>
      <c r="Q52" s="323"/>
      <c r="R52" s="323"/>
      <c r="S52" s="324" t="s">
        <v>620</v>
      </c>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t="s">
        <v>661</v>
      </c>
      <c r="AH52" s="323"/>
      <c r="AI52" s="323"/>
      <c r="AJ52" s="323"/>
      <c r="AK52" s="324" t="s">
        <v>636</v>
      </c>
      <c r="AL52" s="323"/>
      <c r="AM52" s="323"/>
      <c r="AN52" s="323"/>
      <c r="AO52" s="324" t="s">
        <v>651</v>
      </c>
      <c r="AP52" s="323" t="s">
        <v>679</v>
      </c>
      <c r="AQ52" s="323"/>
      <c r="AR52" s="323"/>
      <c r="AS52" s="324" t="s">
        <v>647</v>
      </c>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t="s">
        <v>681</v>
      </c>
      <c r="E53" s="323"/>
      <c r="F53" s="323"/>
      <c r="G53" s="326" t="s">
        <v>630</v>
      </c>
      <c r="H53" s="323"/>
      <c r="I53" s="323"/>
      <c r="J53" s="323"/>
      <c r="K53" s="326" t="s">
        <v>596</v>
      </c>
      <c r="L53" s="323" t="s">
        <v>681</v>
      </c>
      <c r="M53" s="323"/>
      <c r="N53" s="323"/>
      <c r="O53" s="326" t="s">
        <v>608</v>
      </c>
      <c r="P53" s="323" t="s">
        <v>681</v>
      </c>
      <c r="Q53" s="323"/>
      <c r="R53" s="323"/>
      <c r="S53" s="326" t="s">
        <v>593</v>
      </c>
      <c r="T53" s="323"/>
      <c r="U53" s="323"/>
      <c r="V53" s="325"/>
      <c r="W53" s="338" t="str">
        <f>IF(A53="","",SUMIF(SK!B$88:B$163,ROW(),SK!D$88:D$163))</f>
        <v/>
      </c>
      <c r="X53" s="17"/>
      <c r="Y53" s="550"/>
      <c r="Z53" s="512"/>
      <c r="AA53" s="310" t="str">
        <f>IF(Score!T53="", "",Score!T53 )</f>
        <v/>
      </c>
      <c r="AB53" s="310"/>
      <c r="AC53" s="308" t="str">
        <f>IF(Score!U53="", "",Score!U53 )</f>
        <v/>
      </c>
      <c r="AD53" s="323"/>
      <c r="AE53" s="323"/>
      <c r="AF53" s="323"/>
      <c r="AG53" s="326" t="s">
        <v>643</v>
      </c>
      <c r="AH53" s="323"/>
      <c r="AI53" s="323"/>
      <c r="AJ53" s="323"/>
      <c r="AK53" s="326" t="s">
        <v>640</v>
      </c>
      <c r="AL53" s="323"/>
      <c r="AM53" s="323"/>
      <c r="AN53" s="323"/>
      <c r="AO53" s="326" t="s">
        <v>651</v>
      </c>
      <c r="AP53" s="323" t="s">
        <v>680</v>
      </c>
      <c r="AQ53" s="323"/>
      <c r="AR53" s="323"/>
      <c r="AS53" s="326" t="s">
        <v>655</v>
      </c>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c r="E54" s="323"/>
      <c r="F54" s="323"/>
      <c r="G54" s="324" t="s">
        <v>585</v>
      </c>
      <c r="H54" s="323"/>
      <c r="I54" s="323"/>
      <c r="J54" s="323"/>
      <c r="K54" s="324" t="s">
        <v>622</v>
      </c>
      <c r="L54" s="323"/>
      <c r="M54" s="323"/>
      <c r="N54" s="323"/>
      <c r="O54" s="324" t="s">
        <v>602</v>
      </c>
      <c r="P54" s="323"/>
      <c r="Q54" s="323"/>
      <c r="R54" s="323"/>
      <c r="S54" s="324" t="s">
        <v>618</v>
      </c>
      <c r="T54" s="323" t="s">
        <v>678</v>
      </c>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643</v>
      </c>
      <c r="AH54" s="323"/>
      <c r="AI54" s="323"/>
      <c r="AJ54" s="323"/>
      <c r="AK54" s="324" t="s">
        <v>653</v>
      </c>
      <c r="AL54" s="323"/>
      <c r="AM54" s="323"/>
      <c r="AN54" s="323"/>
      <c r="AO54" s="324" t="s">
        <v>636</v>
      </c>
      <c r="AP54" s="323"/>
      <c r="AQ54" s="323"/>
      <c r="AR54" s="323"/>
      <c r="AS54" s="324" t="s">
        <v>671</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c r="E55" s="323"/>
      <c r="F55" s="323"/>
      <c r="G55" s="326" t="s">
        <v>630</v>
      </c>
      <c r="H55" s="323"/>
      <c r="I55" s="323"/>
      <c r="J55" s="323"/>
      <c r="K55" s="326" t="s">
        <v>608</v>
      </c>
      <c r="L55" s="323"/>
      <c r="M55" s="323"/>
      <c r="N55" s="323"/>
      <c r="O55" s="326" t="s">
        <v>596</v>
      </c>
      <c r="P55" s="323"/>
      <c r="Q55" s="323"/>
      <c r="R55" s="323"/>
      <c r="S55" s="326" t="s">
        <v>618</v>
      </c>
      <c r="T55" s="323" t="s">
        <v>680</v>
      </c>
      <c r="U55" s="323"/>
      <c r="V55" s="325"/>
      <c r="W55" s="338" t="str">
        <f>IF(A55="","",SUMIF(SK!B$88:B$163,ROW(),SK!D$88:D$163))</f>
        <v/>
      </c>
      <c r="X55" s="17"/>
      <c r="Y55" s="550"/>
      <c r="Z55" s="512"/>
      <c r="AA55" s="310" t="str">
        <f>IF(Score!T55="", "",Score!T55 )</f>
        <v/>
      </c>
      <c r="AB55" s="310"/>
      <c r="AC55" s="308" t="str">
        <f>IF(Score!U55="", "",Score!U55 )</f>
        <v/>
      </c>
      <c r="AD55" s="323"/>
      <c r="AE55" s="323"/>
      <c r="AF55" s="323"/>
      <c r="AG55" s="326" t="s">
        <v>647</v>
      </c>
      <c r="AH55" s="323" t="s">
        <v>680</v>
      </c>
      <c r="AI55" s="323"/>
      <c r="AJ55" s="323"/>
      <c r="AK55" s="326" t="s">
        <v>653</v>
      </c>
      <c r="AL55" s="323" t="s">
        <v>679</v>
      </c>
      <c r="AM55" s="323"/>
      <c r="AN55" s="323"/>
      <c r="AO55" s="326" t="s">
        <v>643</v>
      </c>
      <c r="AP55" s="323"/>
      <c r="AQ55" s="323"/>
      <c r="AR55" s="323"/>
      <c r="AS55" s="326" t="s">
        <v>671</v>
      </c>
      <c r="AT55" s="323" t="s">
        <v>678</v>
      </c>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t="s">
        <v>585</v>
      </c>
      <c r="H56" s="323"/>
      <c r="I56" s="323"/>
      <c r="J56" s="323"/>
      <c r="K56" s="324" t="s">
        <v>620</v>
      </c>
      <c r="L56" s="323"/>
      <c r="M56" s="323"/>
      <c r="N56" s="323"/>
      <c r="O56" s="324" t="s">
        <v>622</v>
      </c>
      <c r="P56" s="323"/>
      <c r="Q56" s="323"/>
      <c r="R56" s="323"/>
      <c r="S56" s="324" t="s">
        <v>593</v>
      </c>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t="s">
        <v>661</v>
      </c>
      <c r="AH56" s="323"/>
      <c r="AI56" s="323"/>
      <c r="AJ56" s="323"/>
      <c r="AK56" s="324" t="s">
        <v>653</v>
      </c>
      <c r="AL56" s="323" t="s">
        <v>680</v>
      </c>
      <c r="AM56" s="323"/>
      <c r="AN56" s="323"/>
      <c r="AO56" s="324" t="s">
        <v>636</v>
      </c>
      <c r="AP56" s="323"/>
      <c r="AQ56" s="323"/>
      <c r="AR56" s="323"/>
      <c r="AS56" s="324" t="s">
        <v>671</v>
      </c>
      <c r="AT56" s="323" t="s">
        <v>679</v>
      </c>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t="s">
        <v>630</v>
      </c>
      <c r="H57" s="323"/>
      <c r="I57" s="323"/>
      <c r="J57" s="323"/>
      <c r="K57" s="326" t="s">
        <v>596</v>
      </c>
      <c r="L57" s="323"/>
      <c r="M57" s="323"/>
      <c r="N57" s="323"/>
      <c r="O57" s="326" t="s">
        <v>602</v>
      </c>
      <c r="P57" s="323"/>
      <c r="Q57" s="323"/>
      <c r="R57" s="323"/>
      <c r="S57" s="326" t="s">
        <v>608</v>
      </c>
      <c r="T57" s="323"/>
      <c r="U57" s="323"/>
      <c r="V57" s="325"/>
      <c r="W57" s="338" t="str">
        <f>IF(A57="","",SUMIF(SK!B$88:B$163,ROW(),SK!D$88:D$163))</f>
        <v/>
      </c>
      <c r="X57" s="17"/>
      <c r="Y57" s="550"/>
      <c r="Z57" s="512"/>
      <c r="AA57" s="310" t="str">
        <f>IF(Score!T57="", "",Score!T57 )</f>
        <v/>
      </c>
      <c r="AB57" s="310"/>
      <c r="AC57" s="308" t="str">
        <f>IF(Score!U57="", "",Score!U57 )</f>
        <v/>
      </c>
      <c r="AD57" s="323"/>
      <c r="AE57" s="323"/>
      <c r="AF57" s="323"/>
      <c r="AG57" s="326" t="s">
        <v>643</v>
      </c>
      <c r="AH57" s="323" t="s">
        <v>678</v>
      </c>
      <c r="AI57" s="323"/>
      <c r="AJ57" s="323"/>
      <c r="AK57" s="326" t="s">
        <v>659</v>
      </c>
      <c r="AL57" s="323"/>
      <c r="AM57" s="323"/>
      <c r="AN57" s="323"/>
      <c r="AO57" s="326" t="s">
        <v>655</v>
      </c>
      <c r="AP57" s="323" t="s">
        <v>678</v>
      </c>
      <c r="AQ57" s="323"/>
      <c r="AR57" s="323"/>
      <c r="AS57" s="326" t="s">
        <v>671</v>
      </c>
      <c r="AT57" s="323" t="s">
        <v>680</v>
      </c>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t="s">
        <v>585</v>
      </c>
      <c r="H58" s="323"/>
      <c r="I58" s="323"/>
      <c r="J58" s="323"/>
      <c r="K58" s="324" t="s">
        <v>593</v>
      </c>
      <c r="L58" s="323"/>
      <c r="M58" s="323"/>
      <c r="N58" s="323"/>
      <c r="O58" s="324" t="s">
        <v>622</v>
      </c>
      <c r="P58" s="323" t="s">
        <v>681</v>
      </c>
      <c r="Q58" s="323"/>
      <c r="R58" s="323"/>
      <c r="S58" s="324" t="s">
        <v>618</v>
      </c>
      <c r="T58" s="323"/>
      <c r="U58" s="323"/>
      <c r="V58" s="325"/>
      <c r="W58" s="338" t="str">
        <f>IF(A58="","",SUMIF(SK!B$88:B$163,ROW(),SK!D$88:D$163))</f>
        <v/>
      </c>
      <c r="X58" s="17"/>
      <c r="Y58" s="747" t="str">
        <f>Y16</f>
        <v/>
      </c>
      <c r="Z58" s="512" t="str">
        <f>Z16</f>
        <v/>
      </c>
      <c r="AA58" s="309" t="str">
        <f>IF(Score!T58="", "",Score!T58 )</f>
        <v/>
      </c>
      <c r="AB58" s="309"/>
      <c r="AC58" s="307" t="str">
        <f>IF(Score!U58="", "",Score!U58 )</f>
        <v/>
      </c>
      <c r="AD58" s="323"/>
      <c r="AE58" s="323"/>
      <c r="AF58" s="323"/>
      <c r="AG58" s="324" t="s">
        <v>643</v>
      </c>
      <c r="AH58" s="323" t="s">
        <v>680</v>
      </c>
      <c r="AI58" s="323" t="s">
        <v>678</v>
      </c>
      <c r="AJ58" s="323"/>
      <c r="AK58" s="324" t="s">
        <v>661</v>
      </c>
      <c r="AL58" s="323" t="s">
        <v>681</v>
      </c>
      <c r="AM58" s="323"/>
      <c r="AN58" s="323"/>
      <c r="AO58" s="324" t="s">
        <v>655</v>
      </c>
      <c r="AP58" s="323" t="s">
        <v>680</v>
      </c>
      <c r="AQ58" s="323" t="s">
        <v>678</v>
      </c>
      <c r="AR58" s="323"/>
      <c r="AS58" s="324" t="s">
        <v>671</v>
      </c>
      <c r="AT58" s="323" t="s">
        <v>681</v>
      </c>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t="s">
        <v>630</v>
      </c>
      <c r="H59" s="323"/>
      <c r="I59" s="323"/>
      <c r="J59" s="323"/>
      <c r="K59" s="326" t="s">
        <v>608</v>
      </c>
      <c r="L59" s="323" t="s">
        <v>678</v>
      </c>
      <c r="M59" s="323"/>
      <c r="N59" s="323"/>
      <c r="O59" s="326" t="s">
        <v>620</v>
      </c>
      <c r="P59" s="323"/>
      <c r="Q59" s="323"/>
      <c r="R59" s="323"/>
      <c r="S59" s="326" t="s">
        <v>596</v>
      </c>
      <c r="T59" s="323"/>
      <c r="U59" s="323"/>
      <c r="V59" s="325"/>
      <c r="W59" s="338" t="str">
        <f>IF(A59="","",SUMIF(SK!B$88:B$163,ROW(),SK!D$88:D$163))</f>
        <v/>
      </c>
      <c r="X59" s="17"/>
      <c r="Y59" s="550"/>
      <c r="Z59" s="512"/>
      <c r="AA59" s="310" t="str">
        <f>IF(Score!T59="", "",Score!T59 )</f>
        <v/>
      </c>
      <c r="AB59" s="310"/>
      <c r="AC59" s="308" t="str">
        <f>IF(Score!U59="", "",Score!U59 )</f>
        <v/>
      </c>
      <c r="AD59" s="323" t="s">
        <v>694</v>
      </c>
      <c r="AE59" s="323"/>
      <c r="AF59" s="323"/>
      <c r="AG59" s="326" t="s">
        <v>643</v>
      </c>
      <c r="AH59" s="323" t="s">
        <v>679</v>
      </c>
      <c r="AI59" s="323"/>
      <c r="AJ59" s="323"/>
      <c r="AK59" s="326" t="s">
        <v>636</v>
      </c>
      <c r="AL59" s="323"/>
      <c r="AM59" s="323"/>
      <c r="AN59" s="323"/>
      <c r="AO59" s="326" t="s">
        <v>655</v>
      </c>
      <c r="AP59" s="323" t="s">
        <v>680</v>
      </c>
      <c r="AQ59" s="323"/>
      <c r="AR59" s="323"/>
      <c r="AS59" s="326" t="s">
        <v>647</v>
      </c>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t="s">
        <v>681</v>
      </c>
      <c r="E60" s="323"/>
      <c r="F60" s="323"/>
      <c r="G60" s="324" t="s">
        <v>585</v>
      </c>
      <c r="H60" s="323"/>
      <c r="I60" s="323"/>
      <c r="J60" s="323"/>
      <c r="K60" s="324" t="s">
        <v>608</v>
      </c>
      <c r="L60" s="323" t="s">
        <v>680</v>
      </c>
      <c r="M60" s="323"/>
      <c r="N60" s="323"/>
      <c r="O60" s="324" t="s">
        <v>622</v>
      </c>
      <c r="P60" s="323"/>
      <c r="Q60" s="323"/>
      <c r="R60" s="323"/>
      <c r="S60" s="324" t="s">
        <v>593</v>
      </c>
      <c r="T60" s="323"/>
      <c r="U60" s="323"/>
      <c r="V60" s="325"/>
      <c r="W60" s="338" t="str">
        <f>IF(A60="","",SUMIF(SK!B$88:B$163,ROW(),SK!D$88:D$163))</f>
        <v/>
      </c>
      <c r="X60" s="17"/>
      <c r="Y60" s="747" t="str">
        <f>Y18</f>
        <v/>
      </c>
      <c r="Z60" s="512" t="str">
        <f>Z18</f>
        <v/>
      </c>
      <c r="AA60" s="309" t="str">
        <f>IF(Score!T60="", "",Score!T60 )</f>
        <v/>
      </c>
      <c r="AB60" s="309"/>
      <c r="AC60" s="307" t="str">
        <f>IF(Score!U60="", "",Score!U60 )</f>
        <v/>
      </c>
      <c r="AD60" s="323"/>
      <c r="AE60" s="323"/>
      <c r="AF60" s="323"/>
      <c r="AG60" s="324" t="s">
        <v>661</v>
      </c>
      <c r="AH60" s="323"/>
      <c r="AI60" s="323"/>
      <c r="AJ60" s="323"/>
      <c r="AK60" s="324" t="s">
        <v>636</v>
      </c>
      <c r="AL60" s="323" t="s">
        <v>681</v>
      </c>
      <c r="AM60" s="323"/>
      <c r="AN60" s="323"/>
      <c r="AO60" s="324" t="s">
        <v>671</v>
      </c>
      <c r="AP60" s="323"/>
      <c r="AQ60" s="323"/>
      <c r="AR60" s="323"/>
      <c r="AS60" s="324" t="s">
        <v>647</v>
      </c>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t="s">
        <v>116</v>
      </c>
      <c r="C61" s="308" t="str">
        <f>IF(Score!B61="", "",Score!B61 )</f>
        <v/>
      </c>
      <c r="D61" s="323"/>
      <c r="E61" s="323"/>
      <c r="F61" s="323"/>
      <c r="G61" s="326" t="s">
        <v>628</v>
      </c>
      <c r="H61" s="323"/>
      <c r="I61" s="323"/>
      <c r="J61" s="323"/>
      <c r="K61" s="326" t="s">
        <v>608</v>
      </c>
      <c r="L61" s="323"/>
      <c r="M61" s="323"/>
      <c r="N61" s="323"/>
      <c r="O61" s="326" t="s">
        <v>622</v>
      </c>
      <c r="P61" s="323"/>
      <c r="Q61" s="323"/>
      <c r="R61" s="323"/>
      <c r="S61" s="326" t="s">
        <v>593</v>
      </c>
      <c r="T61" s="323"/>
      <c r="U61" s="323"/>
      <c r="V61" s="325"/>
      <c r="W61" s="338" t="str">
        <f>IF(A61="","",SUMIF(SK!B$88:B$163,ROW(),SK!D$88:D$163))</f>
        <v/>
      </c>
      <c r="X61" s="17"/>
      <c r="Y61" s="550"/>
      <c r="Z61" s="512"/>
      <c r="AA61" s="310" t="str">
        <f>IF(Score!T61="", "",Score!T61 )</f>
        <v/>
      </c>
      <c r="AB61" s="310"/>
      <c r="AC61" s="308" t="str">
        <f>IF(Score!U61="", "",Score!U61 )</f>
        <v/>
      </c>
      <c r="AD61" s="323"/>
      <c r="AE61" s="323"/>
      <c r="AF61" s="323"/>
      <c r="AG61" s="326"/>
      <c r="AH61" s="323"/>
      <c r="AI61" s="323"/>
      <c r="AJ61" s="323"/>
      <c r="AK61" s="326"/>
      <c r="AL61" s="323"/>
      <c r="AM61" s="323"/>
      <c r="AN61" s="323"/>
      <c r="AO61" s="326"/>
      <c r="AP61" s="323"/>
      <c r="AQ61" s="323"/>
      <c r="AR61" s="323"/>
      <c r="AS61" s="326"/>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t="s">
        <v>630</v>
      </c>
      <c r="H62" s="323"/>
      <c r="I62" s="323"/>
      <c r="J62" s="323"/>
      <c r="K62" s="324" t="s">
        <v>620</v>
      </c>
      <c r="L62" s="323"/>
      <c r="M62" s="323"/>
      <c r="N62" s="323"/>
      <c r="O62" s="324" t="s">
        <v>596</v>
      </c>
      <c r="P62" s="323"/>
      <c r="Q62" s="323"/>
      <c r="R62" s="323"/>
      <c r="S62" s="324" t="s">
        <v>618</v>
      </c>
      <c r="T62" s="323"/>
      <c r="U62" s="323"/>
      <c r="V62" s="325"/>
      <c r="W62" s="338" t="str">
        <f>IF(A62="","",SUMIF(SK!B$88:B$163,ROW(),SK!D$88:D$163))</f>
        <v/>
      </c>
      <c r="X62" s="17"/>
      <c r="Y62" s="747" t="str">
        <f>Y20</f>
        <v/>
      </c>
      <c r="Z62" s="512" t="str">
        <f>Z20</f>
        <v/>
      </c>
      <c r="AA62" s="309" t="str">
        <f>IF(Score!T62="", "",Score!T62 )</f>
        <v/>
      </c>
      <c r="AB62" s="309"/>
      <c r="AC62" s="307" t="str">
        <f>IF(Score!U62="", "",Score!U62 )</f>
        <v/>
      </c>
      <c r="AD62" s="323"/>
      <c r="AE62" s="323"/>
      <c r="AF62" s="323"/>
      <c r="AG62" s="324" t="s">
        <v>643</v>
      </c>
      <c r="AH62" s="323"/>
      <c r="AI62" s="323"/>
      <c r="AJ62" s="323"/>
      <c r="AK62" s="324" t="s">
        <v>655</v>
      </c>
      <c r="AL62" s="323"/>
      <c r="AM62" s="323"/>
      <c r="AN62" s="323"/>
      <c r="AO62" s="324" t="s">
        <v>640</v>
      </c>
      <c r="AP62" s="323"/>
      <c r="AQ62" s="323"/>
      <c r="AR62" s="323"/>
      <c r="AS62" s="324" t="s">
        <v>651</v>
      </c>
      <c r="AT62" s="323"/>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t="s">
        <v>585</v>
      </c>
      <c r="H63" s="323"/>
      <c r="I63" s="323"/>
      <c r="J63" s="323"/>
      <c r="K63" s="326" t="s">
        <v>608</v>
      </c>
      <c r="L63" s="323" t="s">
        <v>678</v>
      </c>
      <c r="M63" s="323"/>
      <c r="N63" s="323"/>
      <c r="O63" s="326" t="s">
        <v>593</v>
      </c>
      <c r="P63" s="323"/>
      <c r="Q63" s="323"/>
      <c r="R63" s="323"/>
      <c r="S63" s="326" t="s">
        <v>622</v>
      </c>
      <c r="T63" s="323"/>
      <c r="U63" s="323"/>
      <c r="V63" s="325"/>
      <c r="W63" s="338" t="str">
        <f>IF(A63="","",SUMIF(SK!B$88:B$163,ROW(),SK!D$88:D$163))</f>
        <v/>
      </c>
      <c r="X63" s="17"/>
      <c r="Y63" s="550"/>
      <c r="Z63" s="512"/>
      <c r="AA63" s="310" t="str">
        <f>IF(Score!T63="", "",Score!T63 )</f>
        <v/>
      </c>
      <c r="AB63" s="310"/>
      <c r="AC63" s="308" t="str">
        <f>IF(Score!U63="", "",Score!U63 )</f>
        <v/>
      </c>
      <c r="AD63" s="323"/>
      <c r="AE63" s="323"/>
      <c r="AF63" s="323"/>
      <c r="AG63" s="326" t="s">
        <v>661</v>
      </c>
      <c r="AH63" s="323"/>
      <c r="AI63" s="323"/>
      <c r="AJ63" s="323"/>
      <c r="AK63" s="326" t="s">
        <v>653</v>
      </c>
      <c r="AL63" s="323"/>
      <c r="AM63" s="323"/>
      <c r="AN63" s="323"/>
      <c r="AO63" s="326" t="s">
        <v>636</v>
      </c>
      <c r="AP63" s="323"/>
      <c r="AQ63" s="323"/>
      <c r="AR63" s="323"/>
      <c r="AS63" s="326" t="s">
        <v>647</v>
      </c>
      <c r="AT63" s="323"/>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t="s">
        <v>585</v>
      </c>
      <c r="H64" s="323" t="s">
        <v>681</v>
      </c>
      <c r="I64" s="323"/>
      <c r="J64" s="323"/>
      <c r="K64" s="324" t="s">
        <v>608</v>
      </c>
      <c r="L64" s="323" t="s">
        <v>680</v>
      </c>
      <c r="M64" s="323"/>
      <c r="N64" s="323"/>
      <c r="O64" s="324" t="s">
        <v>630</v>
      </c>
      <c r="P64" s="323"/>
      <c r="Q64" s="323"/>
      <c r="R64" s="323"/>
      <c r="S64" s="324" t="s">
        <v>596</v>
      </c>
      <c r="T64" s="323"/>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t="s">
        <v>661</v>
      </c>
      <c r="AH64" s="323" t="s">
        <v>680</v>
      </c>
      <c r="AI64" s="323"/>
      <c r="AJ64" s="323"/>
      <c r="AK64" s="324" t="s">
        <v>655</v>
      </c>
      <c r="AL64" s="323"/>
      <c r="AM64" s="323"/>
      <c r="AN64" s="323"/>
      <c r="AO64" s="324" t="s">
        <v>636</v>
      </c>
      <c r="AP64" s="323" t="s">
        <v>679</v>
      </c>
      <c r="AQ64" s="323"/>
      <c r="AR64" s="323"/>
      <c r="AS64" s="324" t="s">
        <v>643</v>
      </c>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624</v>
      </c>
      <c r="H65" s="323"/>
      <c r="I65" s="323"/>
      <c r="J65" s="323"/>
      <c r="K65" s="326" t="s">
        <v>593</v>
      </c>
      <c r="L65" s="323"/>
      <c r="M65" s="323"/>
      <c r="N65" s="323"/>
      <c r="O65" s="326" t="s">
        <v>602</v>
      </c>
      <c r="P65" s="323" t="s">
        <v>678</v>
      </c>
      <c r="Q65" s="323"/>
      <c r="R65" s="323"/>
      <c r="S65" s="326" t="s">
        <v>618</v>
      </c>
      <c r="T65" s="323" t="s">
        <v>678</v>
      </c>
      <c r="U65" s="323"/>
      <c r="V65" s="325"/>
      <c r="W65" s="338" t="str">
        <f>IF(A65="","",SUMIF(SK!B$88:B$163,ROW(),SK!D$88:D$163))</f>
        <v/>
      </c>
      <c r="X65" s="17"/>
      <c r="Y65" s="550"/>
      <c r="Z65" s="512"/>
      <c r="AA65" s="310" t="str">
        <f>IF(Score!T65="", "",Score!T65 )</f>
        <v/>
      </c>
      <c r="AB65" s="310"/>
      <c r="AC65" s="308" t="str">
        <f>IF(Score!U65="", "",Score!U65 )</f>
        <v/>
      </c>
      <c r="AD65" s="323"/>
      <c r="AE65" s="323"/>
      <c r="AF65" s="323"/>
      <c r="AG65" s="326" t="s">
        <v>661</v>
      </c>
      <c r="AH65" s="323"/>
      <c r="AI65" s="323"/>
      <c r="AJ65" s="323"/>
      <c r="AK65" s="326" t="s">
        <v>647</v>
      </c>
      <c r="AL65" s="323"/>
      <c r="AM65" s="323"/>
      <c r="AN65" s="323"/>
      <c r="AO65" s="326" t="s">
        <v>636</v>
      </c>
      <c r="AP65" s="323" t="s">
        <v>679</v>
      </c>
      <c r="AQ65" s="323"/>
      <c r="AR65" s="323"/>
      <c r="AS65" s="326" t="s">
        <v>653</v>
      </c>
      <c r="AT65" s="323"/>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t="s">
        <v>630</v>
      </c>
      <c r="H66" s="323"/>
      <c r="I66" s="323"/>
      <c r="J66" s="323"/>
      <c r="K66" s="324" t="s">
        <v>596</v>
      </c>
      <c r="L66" s="323"/>
      <c r="M66" s="323"/>
      <c r="N66" s="323"/>
      <c r="O66" s="324" t="s">
        <v>602</v>
      </c>
      <c r="P66" s="323" t="s">
        <v>680</v>
      </c>
      <c r="Q66" s="323"/>
      <c r="R66" s="323"/>
      <c r="S66" s="324" t="s">
        <v>608</v>
      </c>
      <c r="T66" s="323" t="s">
        <v>680</v>
      </c>
      <c r="U66" s="323"/>
      <c r="V66" s="325"/>
      <c r="W66" s="338" t="str">
        <f>IF(A66="","",SUMIF(SK!B$88:B$163,ROW(),SK!D$88:D$163))</f>
        <v/>
      </c>
      <c r="X66" s="17"/>
      <c r="Y66" s="747" t="str">
        <f>Y24</f>
        <v/>
      </c>
      <c r="Z66" s="512" t="str">
        <f>Z24</f>
        <v/>
      </c>
      <c r="AA66" s="309" t="str">
        <f>IF(Score!T66="", "",Score!T66 )</f>
        <v/>
      </c>
      <c r="AB66" s="309"/>
      <c r="AC66" s="307" t="str">
        <f>IF(Score!U66="", "",Score!U66 )</f>
        <v/>
      </c>
      <c r="AD66" s="323"/>
      <c r="AE66" s="323"/>
      <c r="AF66" s="323"/>
      <c r="AG66" s="324" t="s">
        <v>643</v>
      </c>
      <c r="AH66" s="323"/>
      <c r="AI66" s="323"/>
      <c r="AJ66" s="323"/>
      <c r="AK66" s="324" t="s">
        <v>640</v>
      </c>
      <c r="AL66" s="323" t="s">
        <v>680</v>
      </c>
      <c r="AM66" s="323"/>
      <c r="AN66" s="323"/>
      <c r="AO66" s="324" t="s">
        <v>655</v>
      </c>
      <c r="AP66" s="323"/>
      <c r="AQ66" s="323"/>
      <c r="AR66" s="323"/>
      <c r="AS66" s="324" t="s">
        <v>663</v>
      </c>
      <c r="AT66" s="323"/>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t="s">
        <v>622</v>
      </c>
      <c r="H67" s="323"/>
      <c r="I67" s="323"/>
      <c r="J67" s="323"/>
      <c r="K67" s="326" t="s">
        <v>620</v>
      </c>
      <c r="L67" s="323"/>
      <c r="M67" s="323"/>
      <c r="N67" s="323"/>
      <c r="O67" s="326" t="s">
        <v>585</v>
      </c>
      <c r="P67" s="323"/>
      <c r="Q67" s="323"/>
      <c r="R67" s="323"/>
      <c r="S67" s="326" t="s">
        <v>593</v>
      </c>
      <c r="T67" s="323"/>
      <c r="U67" s="323"/>
      <c r="V67" s="325"/>
      <c r="W67" s="338" t="str">
        <f>IF(A67="","",SUMIF(SK!B$88:B$163,ROW(),SK!D$88:D$163))</f>
        <v/>
      </c>
      <c r="X67" s="17"/>
      <c r="Y67" s="550"/>
      <c r="Z67" s="512"/>
      <c r="AA67" s="310" t="str">
        <f>IF(Score!T67="", "",Score!T67 )</f>
        <v/>
      </c>
      <c r="AB67" s="310"/>
      <c r="AC67" s="308" t="str">
        <f>IF(Score!U67="", "",Score!U67 )</f>
        <v/>
      </c>
      <c r="AD67" s="323"/>
      <c r="AE67" s="323"/>
      <c r="AF67" s="323"/>
      <c r="AG67" s="326" t="s">
        <v>661</v>
      </c>
      <c r="AH67" s="323"/>
      <c r="AI67" s="323"/>
      <c r="AJ67" s="323"/>
      <c r="AK67" s="326" t="s">
        <v>647</v>
      </c>
      <c r="AL67" s="323"/>
      <c r="AM67" s="323"/>
      <c r="AN67" s="323"/>
      <c r="AO67" s="326" t="s">
        <v>659</v>
      </c>
      <c r="AP67" s="323"/>
      <c r="AQ67" s="323"/>
      <c r="AR67" s="323"/>
      <c r="AS67" s="326" t="s">
        <v>653</v>
      </c>
      <c r="AT67" s="323" t="s">
        <v>678</v>
      </c>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t="s">
        <v>681</v>
      </c>
      <c r="E68" s="323"/>
      <c r="F68" s="323"/>
      <c r="G68" s="324" t="s">
        <v>610</v>
      </c>
      <c r="H68" s="323" t="s">
        <v>678</v>
      </c>
      <c r="I68" s="323"/>
      <c r="J68" s="323"/>
      <c r="K68" s="324" t="s">
        <v>608</v>
      </c>
      <c r="L68" s="323"/>
      <c r="M68" s="323"/>
      <c r="N68" s="323"/>
      <c r="O68" s="324" t="s">
        <v>630</v>
      </c>
      <c r="P68" s="323"/>
      <c r="Q68" s="323"/>
      <c r="R68" s="323"/>
      <c r="S68" s="324" t="s">
        <v>593</v>
      </c>
      <c r="T68" s="323"/>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t="s">
        <v>647</v>
      </c>
      <c r="AH68" s="323"/>
      <c r="AI68" s="323"/>
      <c r="AJ68" s="323"/>
      <c r="AK68" s="324" t="s">
        <v>655</v>
      </c>
      <c r="AL68" s="323"/>
      <c r="AM68" s="323"/>
      <c r="AN68" s="323"/>
      <c r="AO68" s="324" t="s">
        <v>659</v>
      </c>
      <c r="AP68" s="323" t="s">
        <v>680</v>
      </c>
      <c r="AQ68" s="323"/>
      <c r="AR68" s="323"/>
      <c r="AS68" s="324" t="s">
        <v>653</v>
      </c>
      <c r="AT68" s="323" t="s">
        <v>680</v>
      </c>
      <c r="AU68" s="323"/>
      <c r="AV68" s="325"/>
      <c r="AW68" s="338" t="str">
        <f>IF(AA68="","",SUMIF(SK!R$88:R$163,ROW(),SK!T$88:T$163))</f>
        <v/>
      </c>
      <c r="AX68" s="17"/>
      <c r="AY68" s="747" t="str">
        <f>AY26</f>
        <v/>
      </c>
      <c r="AZ68" s="512" t="str">
        <f>AZ26</f>
        <v/>
      </c>
    </row>
    <row r="69" spans="1:52" ht="39" customHeight="1" thickBot="1" x14ac:dyDescent="0.25">
      <c r="A69" s="306" t="str">
        <f>IF(Score!A69="", "",Score!A69 )</f>
        <v/>
      </c>
      <c r="B69" s="310"/>
      <c r="C69" s="308" t="str">
        <f>IF(Score!B69="", "",Score!B69 )</f>
        <v/>
      </c>
      <c r="D69" s="323"/>
      <c r="E69" s="323"/>
      <c r="F69" s="323"/>
      <c r="G69" s="326" t="s">
        <v>610</v>
      </c>
      <c r="H69" s="323" t="s">
        <v>680</v>
      </c>
      <c r="I69" s="323"/>
      <c r="J69" s="323"/>
      <c r="K69" s="326" t="s">
        <v>620</v>
      </c>
      <c r="L69" s="323"/>
      <c r="M69" s="323"/>
      <c r="N69" s="323"/>
      <c r="O69" s="326" t="s">
        <v>585</v>
      </c>
      <c r="P69" s="323"/>
      <c r="Q69" s="323"/>
      <c r="R69" s="323"/>
      <c r="S69" s="326" t="s">
        <v>593</v>
      </c>
      <c r="T69" s="323"/>
      <c r="U69" s="323"/>
      <c r="V69" s="325"/>
      <c r="W69" s="338" t="str">
        <f>IF(A69="","",SUMIF(SK!B$88:B$163,ROW(),SK!D$88:D$163))</f>
        <v/>
      </c>
      <c r="X69" s="17"/>
      <c r="Y69" s="550"/>
      <c r="Z69" s="512"/>
      <c r="AA69" s="310" t="str">
        <f>IF(Score!T69="", "",Score!T69 )</f>
        <v/>
      </c>
      <c r="AB69" s="310"/>
      <c r="AC69" s="308" t="str">
        <f>IF(Score!U69="", "",Score!U69 )</f>
        <v/>
      </c>
      <c r="AD69" s="323"/>
      <c r="AE69" s="323"/>
      <c r="AF69" s="323"/>
      <c r="AG69" s="326" t="s">
        <v>661</v>
      </c>
      <c r="AH69" s="323"/>
      <c r="AI69" s="323"/>
      <c r="AJ69" s="323"/>
      <c r="AK69" s="326" t="s">
        <v>663</v>
      </c>
      <c r="AL69" s="323"/>
      <c r="AM69" s="323"/>
      <c r="AN69" s="323"/>
      <c r="AO69" s="326" t="s">
        <v>647</v>
      </c>
      <c r="AP69" s="323"/>
      <c r="AQ69" s="323"/>
      <c r="AR69" s="323"/>
      <c r="AS69" s="326" t="s">
        <v>671</v>
      </c>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c r="H70" s="323"/>
      <c r="I70" s="323"/>
      <c r="J70" s="323"/>
      <c r="K70" s="324"/>
      <c r="L70" s="323"/>
      <c r="M70" s="323"/>
      <c r="N70" s="323"/>
      <c r="O70" s="324"/>
      <c r="P70" s="323"/>
      <c r="Q70" s="323"/>
      <c r="R70" s="323"/>
      <c r="S70" s="324"/>
      <c r="T70" s="323"/>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c r="AH70" s="323"/>
      <c r="AI70" s="323"/>
      <c r="AJ70" s="323"/>
      <c r="AK70" s="324"/>
      <c r="AL70" s="323"/>
      <c r="AM70" s="323"/>
      <c r="AN70" s="323"/>
      <c r="AO70" s="324"/>
      <c r="AP70" s="323"/>
      <c r="AQ70" s="323"/>
      <c r="AR70" s="323"/>
      <c r="AS70" s="324"/>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c r="H71" s="323"/>
      <c r="I71" s="323"/>
      <c r="J71" s="323"/>
      <c r="K71" s="326"/>
      <c r="L71" s="323"/>
      <c r="M71" s="323"/>
      <c r="N71" s="323"/>
      <c r="O71" s="326"/>
      <c r="P71" s="323"/>
      <c r="Q71" s="323"/>
      <c r="R71" s="323"/>
      <c r="S71" s="326"/>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c r="AH71" s="323"/>
      <c r="AI71" s="323"/>
      <c r="AJ71" s="323"/>
      <c r="AK71" s="326"/>
      <c r="AL71" s="323"/>
      <c r="AM71" s="323"/>
      <c r="AN71" s="323"/>
      <c r="AO71" s="326"/>
      <c r="AP71" s="323"/>
      <c r="AQ71" s="323"/>
      <c r="AR71" s="323"/>
      <c r="AS71" s="326"/>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c r="E72" s="323"/>
      <c r="F72" s="323"/>
      <c r="G72" s="324"/>
      <c r="H72" s="323"/>
      <c r="I72" s="323"/>
      <c r="J72" s="323"/>
      <c r="K72" s="324"/>
      <c r="L72" s="323"/>
      <c r="M72" s="323"/>
      <c r="N72" s="323"/>
      <c r="O72" s="324"/>
      <c r="P72" s="323"/>
      <c r="Q72" s="323"/>
      <c r="R72" s="323"/>
      <c r="S72" s="324"/>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c r="AH72" s="323"/>
      <c r="AI72" s="323"/>
      <c r="AJ72" s="323"/>
      <c r="AK72" s="324"/>
      <c r="AL72" s="323"/>
      <c r="AM72" s="323"/>
      <c r="AN72" s="323"/>
      <c r="AO72" s="324"/>
      <c r="AP72" s="323"/>
      <c r="AQ72" s="323"/>
      <c r="AR72" s="323"/>
      <c r="AS72" s="324"/>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c r="H73" s="323"/>
      <c r="I73" s="323"/>
      <c r="J73" s="323"/>
      <c r="K73" s="326"/>
      <c r="L73" s="323"/>
      <c r="M73" s="323"/>
      <c r="N73" s="323"/>
      <c r="O73" s="326"/>
      <c r="P73" s="323"/>
      <c r="Q73" s="323"/>
      <c r="R73" s="323"/>
      <c r="S73" s="326"/>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c r="AH73" s="323"/>
      <c r="AI73" s="323"/>
      <c r="AJ73" s="323"/>
      <c r="AK73" s="326"/>
      <c r="AL73" s="323"/>
      <c r="AM73" s="323"/>
      <c r="AN73" s="323"/>
      <c r="AO73" s="326"/>
      <c r="AP73" s="323"/>
      <c r="AQ73" s="323"/>
      <c r="AR73" s="323"/>
      <c r="AS73" s="326"/>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c r="H74" s="323"/>
      <c r="I74" s="323"/>
      <c r="J74" s="323"/>
      <c r="K74" s="324"/>
      <c r="L74" s="323"/>
      <c r="M74" s="323"/>
      <c r="N74" s="323"/>
      <c r="O74" s="324"/>
      <c r="P74" s="323"/>
      <c r="Q74" s="323"/>
      <c r="R74" s="323"/>
      <c r="S74" s="324"/>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drawing r:id="rId5"/>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c r="C4" s="1316"/>
      <c r="D4" s="571" t="s">
        <v>397</v>
      </c>
      <c r="E4" s="572"/>
      <c r="F4" s="571" t="s">
        <v>398</v>
      </c>
      <c r="G4" s="573"/>
      <c r="H4" s="571" t="s">
        <v>399</v>
      </c>
      <c r="I4" s="574"/>
      <c r="J4" s="571" t="s">
        <v>400</v>
      </c>
      <c r="K4" s="575" t="s">
        <v>401</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675</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675</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c r="C5" s="1385"/>
      <c r="D5" s="1376" t="s">
        <v>674</v>
      </c>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t="s">
        <v>673</v>
      </c>
      <c r="E7" s="1377"/>
      <c r="F7" s="1375"/>
      <c r="G7" s="1376"/>
      <c r="H7" s="1362"/>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89.0</v>
      </c>
      <c r="C11" s="50"/>
      <c r="D11" s="50"/>
      <c r="E11" s="1372"/>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57.0</v>
      </c>
      <c r="C12" s="32"/>
      <c r="D12" s="32"/>
      <c r="E12" s="1354"/>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34.0</v>
      </c>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55.0</v>
      </c>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38.0</v>
      </c>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45.0</v>
      </c>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23.0</v>
      </c>
      <c r="C17" s="27"/>
      <c r="D17" s="27"/>
      <c r="E17" s="1351"/>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48.0</v>
      </c>
      <c r="C18" s="32"/>
      <c r="D18" s="32"/>
      <c r="E18" s="1354"/>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22.0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120.0</v>
      </c>
      <c r="C20" s="32"/>
      <c r="D20" s="32" t="s">
        <v>682</v>
      </c>
      <c r="E20" s="1354" t="s">
        <v>683</v>
      </c>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61.0</v>
      </c>
      <c r="C21" s="27"/>
      <c r="D21" s="27" t="s">
        <v>684</v>
      </c>
      <c r="E21" s="1351" t="s">
        <v>685</v>
      </c>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33.0</v>
      </c>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46.0</v>
      </c>
      <c r="C23" s="27"/>
      <c r="D23" s="27"/>
      <c r="E23" s="1351"/>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85.0</v>
      </c>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68.0</v>
      </c>
      <c r="C25" s="27"/>
      <c r="D25" s="27"/>
      <c r="E25" s="1351"/>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36.0</v>
      </c>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46.0</v>
      </c>
      <c r="C27" s="27"/>
      <c r="D27" s="27" t="s">
        <v>684</v>
      </c>
      <c r="E27" s="1351" t="s">
        <v>686</v>
      </c>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52.0</v>
      </c>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86.0</v>
      </c>
      <c r="C29" s="27"/>
      <c r="D29" s="27"/>
      <c r="E29" s="1351"/>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45.0</v>
      </c>
      <c r="C30" s="32"/>
      <c r="D30" s="32" t="s">
        <v>682</v>
      </c>
      <c r="E30" s="1354" t="s">
        <v>687</v>
      </c>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34.0</v>
      </c>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t="n">
        <v>55.0</v>
      </c>
      <c r="C32" s="32"/>
      <c r="D32" s="32" t="s">
        <v>682</v>
      </c>
      <c r="E32" s="1354" t="s">
        <v>688</v>
      </c>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c r="C56" s="1392"/>
      <c r="D56" s="1376" t="s">
        <v>116</v>
      </c>
      <c r="E56" s="1377" t="s">
        <v>689</v>
      </c>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c r="C58" s="1392"/>
      <c r="D58" s="1376" t="s">
        <v>116</v>
      </c>
      <c r="E58" s="1377"/>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55.0</v>
      </c>
      <c r="C62" s="27"/>
      <c r="D62" s="27"/>
      <c r="E62" s="1351"/>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36.0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120.0</v>
      </c>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85.0</v>
      </c>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33.0</v>
      </c>
      <c r="C66" s="27"/>
      <c r="D66" s="27" t="s">
        <v>682</v>
      </c>
      <c r="E66" s="1351" t="s">
        <v>690</v>
      </c>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20.0</v>
      </c>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120.0</v>
      </c>
      <c r="C68" s="27"/>
      <c r="D68" s="27" t="s">
        <v>684</v>
      </c>
      <c r="E68" s="1351" t="s">
        <v>691</v>
      </c>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53.0</v>
      </c>
      <c r="C69" s="32"/>
      <c r="D69" s="32" t="s">
        <v>682</v>
      </c>
      <c r="E69" s="1354" t="s">
        <v>692</v>
      </c>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30.0</v>
      </c>
      <c r="C70" s="27"/>
      <c r="D70" s="27"/>
      <c r="E70" s="1351"/>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19.0</v>
      </c>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55.0</v>
      </c>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82.0</v>
      </c>
      <c r="C73" s="32"/>
      <c r="D73" s="32" t="s">
        <v>682</v>
      </c>
      <c r="E73" s="1354" t="s">
        <v>693</v>
      </c>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27.0</v>
      </c>
      <c r="C74" s="27"/>
      <c r="D74" s="27" t="s">
        <v>695</v>
      </c>
      <c r="E74" s="1351" t="s">
        <v>696</v>
      </c>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97.0</v>
      </c>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22.0</v>
      </c>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44.0</v>
      </c>
      <c r="C77" s="32"/>
      <c r="D77" s="32"/>
      <c r="E77" s="1354"/>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31.0</v>
      </c>
      <c r="C78" s="27"/>
      <c r="D78" s="27"/>
      <c r="E78" s="1351"/>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43.0</v>
      </c>
      <c r="C79" s="32"/>
      <c r="D79" s="32" t="s">
        <v>682</v>
      </c>
      <c r="E79" s="1354" t="s">
        <v>697</v>
      </c>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55.0</v>
      </c>
      <c r="C80" s="27"/>
      <c r="D80" s="27"/>
      <c r="E80" s="1351"/>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44.0</v>
      </c>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t="n">
        <v>87.0</v>
      </c>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t="n">
        <v>27.0</v>
      </c>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